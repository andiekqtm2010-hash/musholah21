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xampp\htdocs\musholah21\"/>
    </mc:Choice>
  </mc:AlternateContent>
  <xr:revisionPtr revIDLastSave="0" documentId="8_{F3871A5F-166E-463C-9B7F-32F886EF447C}" xr6:coauthVersionLast="47" xr6:coauthVersionMax="47" xr10:uidLastSave="{00000000-0000-0000-0000-000000000000}"/>
  <bookViews>
    <workbookView xWindow="-120" yWindow="-120" windowWidth="29040" windowHeight="15990" xr2:uid="{2FDE7C98-321B-4481-A105-C7BB8EB7806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0" i="1" l="1"/>
  <c r="F280" i="1"/>
  <c r="E280" i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" i="1"/>
  <c r="G240" i="1" l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/>
</calcChain>
</file>

<file path=xl/sharedStrings.xml><?xml version="1.0" encoding="utf-8"?>
<sst xmlns="http://schemas.openxmlformats.org/spreadsheetml/2006/main" count="396" uniqueCount="119">
  <si>
    <t>No</t>
  </si>
  <si>
    <t>Tanggal</t>
  </si>
  <si>
    <t>Keterangan</t>
  </si>
  <si>
    <t>COA</t>
  </si>
  <si>
    <t xml:space="preserve">Debet </t>
  </si>
  <si>
    <t>Kredit</t>
  </si>
  <si>
    <t>Saldo</t>
  </si>
  <si>
    <t>Kas Awal Januari 2025</t>
  </si>
  <si>
    <t>Kas Awal</t>
  </si>
  <si>
    <t>Beli Semen 5 Sak</t>
  </si>
  <si>
    <t>Biaya Material</t>
  </si>
  <si>
    <t>Beli Paku + Bendrat</t>
  </si>
  <si>
    <t>Beli Cleo Gelas</t>
  </si>
  <si>
    <t>Biaya Konsumsi</t>
  </si>
  <si>
    <t>Bayar Krawangan + Pasang</t>
  </si>
  <si>
    <t>Biaya Tukang</t>
  </si>
  <si>
    <t>Jariyah Alm Bapak Sholihin Dan Almh Ibu Semi</t>
  </si>
  <si>
    <t>Sodakoh Masuk</t>
  </si>
  <si>
    <t>Jariyah Bapak Rw Gatot</t>
  </si>
  <si>
    <t>Jariyah Kbm Abah Totok</t>
  </si>
  <si>
    <t>Beli Pipa Pvc + Keni</t>
  </si>
  <si>
    <t>Beli Semen 3 Sak + Ayakan</t>
  </si>
  <si>
    <t>Beli Aqua + Kue</t>
  </si>
  <si>
    <t>Pak Kamidi Ganti Bata Merah 250 Pcs</t>
  </si>
  <si>
    <t>Kas Masuk</t>
  </si>
  <si>
    <t>Beli Lampu Saklas Dan Stop Kontak + Kabel</t>
  </si>
  <si>
    <t>Beli Paku Cor 1 Box</t>
  </si>
  <si>
    <t>Pipa Instalasi 8 Pcs @ 12,500</t>
  </si>
  <si>
    <t>Beli Cat Pilox</t>
  </si>
  <si>
    <t>Bayar Tukang Listrik 3 Hari</t>
  </si>
  <si>
    <t>jariyah bapak iptu Bambang polres SDA</t>
  </si>
  <si>
    <t>beli kabel, terminal dan doradoss</t>
  </si>
  <si>
    <t>Beli Pasir 1 Dam</t>
  </si>
  <si>
    <t>Beli Sok Drat + T 1,5" X 3/4"</t>
  </si>
  <si>
    <t>Beli Scacel Dan Isolasi</t>
  </si>
  <si>
    <t>Beli Pipa Pvc 3" 2 Pcs Untuk Pembuangan + 2 Keni 3"</t>
  </si>
  <si>
    <t>Beli Bor Beton 6 Mm</t>
  </si>
  <si>
    <t>Beli Slang Timbang 10 M</t>
  </si>
  <si>
    <t>Beli Alumunium V12 6 Pcs Untuk Garis Shot</t>
  </si>
  <si>
    <t>Beli Oring Untuk Perbaikan Pompa Air</t>
  </si>
  <si>
    <t>Beli Peralatan Untuk Pasang Tandon Air</t>
  </si>
  <si>
    <t>Beli Ban Arco (Luar Dan Dalam)</t>
  </si>
  <si>
    <t>Beli Sambungan 1" &amp; 1,5"</t>
  </si>
  <si>
    <t>Beli Benang, Verlop + Sok 1/2"</t>
  </si>
  <si>
    <t>Beli Aqua 1 Galon</t>
  </si>
  <si>
    <t xml:space="preserve">Beli Pipa Pvc + Keni </t>
  </si>
  <si>
    <t>Beli Verlop 2" X 1/4"</t>
  </si>
  <si>
    <t>Beli Kabel Untuk Auto Tandon 10 M</t>
  </si>
  <si>
    <t>Bayar Tukang 5 Hari @160,000</t>
  </si>
  <si>
    <t>Bayar Tukang 4 Hari @150,000</t>
  </si>
  <si>
    <t>Bayar Tukang 6 Hari @150,000</t>
  </si>
  <si>
    <t>Bayar Tukang 6 Hari @140,000</t>
  </si>
  <si>
    <t>Sisa Uang Dari Pak Kamidi</t>
  </si>
  <si>
    <t>Beli Aqua Galon</t>
  </si>
  <si>
    <t>Beli Pvc 1.5" + Keni / An</t>
  </si>
  <si>
    <t>Beli Pvc 2" + Keni</t>
  </si>
  <si>
    <t>Jariyah Hamba Allah Dari Lampung Teman Mas Muslim</t>
  </si>
  <si>
    <t>Beli Kran Air + Kran</t>
  </si>
  <si>
    <t>Beli Kabel</t>
  </si>
  <si>
    <t>Beli Keni &amp; Semen 2 Sak</t>
  </si>
  <si>
    <t>Beli Saklar + Solasi</t>
  </si>
  <si>
    <t>Beli Kuku Macan</t>
  </si>
  <si>
    <t>Beli Selang Untuk Sambungan Kran + Cantolan</t>
  </si>
  <si>
    <t xml:space="preserve">Beli Alumunium V12 6 Pcs </t>
  </si>
  <si>
    <t>Beli Semen 1 Sak</t>
  </si>
  <si>
    <t>Bayar Tukang</t>
  </si>
  <si>
    <t>Jariyah Sujiwat</t>
  </si>
  <si>
    <t>Beli Salon Online Cod 2 Pcs</t>
  </si>
  <si>
    <t>Jariyah H wajito</t>
  </si>
  <si>
    <t>Jariyah Bpk Gatot</t>
  </si>
  <si>
    <t>Jariyah Bpk Andiek</t>
  </si>
  <si>
    <t>Jariyah Bapak Kamidi</t>
  </si>
  <si>
    <t>beli mix Salon</t>
  </si>
  <si>
    <t>Beli Material/Auto Tertil + Kabel Rsc</t>
  </si>
  <si>
    <t>Beli Mixer + Kebel + Jek</t>
  </si>
  <si>
    <t>Beli Besi + Gavalum Utk Frame Jam Digital</t>
  </si>
  <si>
    <t>Jariyah Bapak Tomo</t>
  </si>
  <si>
    <t>Pembuatan Ruangan Jam Digital + Ongkosnya</t>
  </si>
  <si>
    <t>Jariyah Ibu Etik Wijayanti</t>
  </si>
  <si>
    <t>Jariyah Bpk Supii</t>
  </si>
  <si>
    <t>Uang Rokok Bapak Sutaji + Pasang Dan Pindah Lampu</t>
  </si>
  <si>
    <t>Jariyah Ibu Susiani</t>
  </si>
  <si>
    <t>Jariyah Ibu Ismawati</t>
  </si>
  <si>
    <t>Jariyah Alm Bpk Saparin &amp; Alm Ibu Sehyah</t>
  </si>
  <si>
    <t>Jariyah Bpk Sugeng Prayitno</t>
  </si>
  <si>
    <t>Jariyah Alm Bpk Solihin + Alm Ibu Semi</t>
  </si>
  <si>
    <t>Hasil Dari Kotib Untuk Musholah</t>
  </si>
  <si>
    <t>Jariyah Hamba Allah Rt.04</t>
  </si>
  <si>
    <t>Jaruyah Bapak Tulus + Ibu Hartatik</t>
  </si>
  <si>
    <t>Jariyah Alm Bpk Tarmidi</t>
  </si>
  <si>
    <t>Bantuan Dari Ranting Nu Kemangsen</t>
  </si>
  <si>
    <t>Jariyak Kel Bpk Gatot</t>
  </si>
  <si>
    <t>Jariyah Ust Ali Murtadho</t>
  </si>
  <si>
    <t>Jariyah Hamba Allah</t>
  </si>
  <si>
    <t>Hail Kotak Infak Musholah</t>
  </si>
  <si>
    <t>Jariyah Ust Zaelani</t>
  </si>
  <si>
    <t>Beli Semen + Paku + Benang</t>
  </si>
  <si>
    <t>Beli Semen Granit 8 Sak</t>
  </si>
  <si>
    <t>Beli Semen Putih 5 Sak</t>
  </si>
  <si>
    <t>Beli Semen Granit 10 Sak @120,500</t>
  </si>
  <si>
    <t>Beli Pisau Granit</t>
  </si>
  <si>
    <t>Beli Isolasi 2 Pcs + Air Cleo 1 Dus</t>
  </si>
  <si>
    <t>Beli Semen Granit 19 Sak</t>
  </si>
  <si>
    <t>Beli Paku 1 Box</t>
  </si>
  <si>
    <t>Beli Granit Dinding 12 Box</t>
  </si>
  <si>
    <t>Kas Kotak Musholah</t>
  </si>
  <si>
    <t>Beli Semen 10 Sak</t>
  </si>
  <si>
    <t>Beli Semen Gresik 2 Sak</t>
  </si>
  <si>
    <t>Beli Granit Untuk Pilar Mihrab 2 Dus</t>
  </si>
  <si>
    <t>Beli Granit Dinding 11 Dus</t>
  </si>
  <si>
    <t>Beli List 8 Pcs @ 23,000</t>
  </si>
  <si>
    <t>Beli Semen Granit 2 Sak</t>
  </si>
  <si>
    <t>Beli Kopi 2 Pcs</t>
  </si>
  <si>
    <t>Jariyah Abah Totok</t>
  </si>
  <si>
    <t>Jariyah Alm Bpk Siswanto</t>
  </si>
  <si>
    <t>Kas Masuk Kotak Amal</t>
  </si>
  <si>
    <t>Beli travo utk perbaikan aplifier + ongkos</t>
  </si>
  <si>
    <t/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</si>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</sst>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09]d/mmm/yy;@"/>
    <numFmt numFmtId="166" formatCode="_(* #,##0_);_(* \(#,##0\);_(* &quot;-&quot;??_);_(@_)"/>
  </numFmts>
  <fonts count="6" x14ac:knownFonts="1">
    <font>
      <sz val="11"/>
      <color theme="1"/>
      <name val="Aptos Narrow"/>
      <family val="2"/>
      <charset val="1"/>
      <scheme val="minor"/>
    </font>
    <font>
      <sz val="11"/>
      <color theme="1"/>
      <name val="Aptos Narrow"/>
      <family val="2"/>
      <charset val="1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166" fontId="3" fillId="0" borderId="3" xfId="1" applyNumberFormat="1" applyFont="1" applyBorder="1"/>
    <xf numFmtId="166" fontId="3" fillId="0" borderId="2" xfId="1" applyNumberFormat="1" applyFont="1" applyBorder="1"/>
    <xf numFmtId="0" fontId="3" fillId="0" borderId="4" xfId="0" applyFont="1" applyBorder="1" applyAlignment="1">
      <alignment horizontal="center" vertical="center"/>
    </xf>
    <xf numFmtId="166" fontId="3" fillId="0" borderId="4" xfId="1" applyNumberFormat="1" applyFont="1" applyBorder="1"/>
    <xf numFmtId="0" fontId="3" fillId="0" borderId="5" xfId="0" applyFont="1" applyBorder="1" applyAlignment="1">
      <alignment horizontal="center" vertical="center"/>
    </xf>
    <xf numFmtId="166" fontId="0" fillId="0" borderId="4" xfId="1" applyNumberFormat="1" applyFont="1" applyBorder="1"/>
    <xf numFmtId="166" fontId="3" fillId="0" borderId="4" xfId="1" applyNumberFormat="1" applyFont="1" applyFill="1" applyBorder="1"/>
    <xf numFmtId="164" fontId="3" fillId="0" borderId="4" xfId="0" applyNumberFormat="1" applyFont="1" applyBorder="1" applyAlignment="1">
      <alignment horizontal="center" vertical="center"/>
    </xf>
    <xf numFmtId="166" fontId="4" fillId="0" borderId="4" xfId="1" applyNumberFormat="1" applyFont="1" applyBorder="1"/>
    <xf numFmtId="0" fontId="0" fillId="0" borderId="4" xfId="0" applyBorder="1" applyAlignment="1">
      <alignment wrapText="1"/>
    </xf>
    <xf numFmtId="166" fontId="0" fillId="0" borderId="4" xfId="1" applyNumberFormat="1" applyFont="1" applyBorder="1" applyAlignment="1">
      <alignment vertical="center"/>
    </xf>
    <xf numFmtId="166" fontId="3" fillId="0" borderId="4" xfId="1" applyNumberFormat="1" applyFont="1" applyBorder="1" applyAlignment="1">
      <alignment vertical="center"/>
    </xf>
    <xf numFmtId="0" fontId="0" fillId="0" borderId="4" xfId="0" applyBorder="1"/>
    <xf numFmtId="164" fontId="0" fillId="0" borderId="4" xfId="0" applyNumberFormat="1" applyBorder="1" applyAlignment="1">
      <alignment horizontal="center" vertical="center"/>
    </xf>
    <xf numFmtId="166" fontId="0" fillId="0" borderId="5" xfId="1" applyNumberFormat="1" applyFont="1" applyBorder="1"/>
    <xf numFmtId="166" fontId="0" fillId="0" borderId="4" xfId="1" applyNumberFormat="1" applyFont="1" applyFill="1" applyBorder="1"/>
    <xf numFmtId="166" fontId="3" fillId="0" borderId="5" xfId="1" applyNumberFormat="1" applyFont="1" applyBorder="1"/>
    <xf numFmtId="166" fontId="3" fillId="0" borderId="3" xfId="1" applyNumberFormat="1" applyFont="1" applyFill="1" applyBorder="1"/>
    <xf numFmtId="166" fontId="3" fillId="3" borderId="3" xfId="1" applyNumberFormat="1" applyFont="1" applyFill="1" applyBorder="1"/>
    <xf numFmtId="166" fontId="3" fillId="3" borderId="4" xfId="1" applyNumberFormat="1" applyFont="1" applyFill="1" applyBorder="1"/>
    <xf numFmtId="0" fontId="5" fillId="0" borderId="3" xfId="0" applyFont="1" applyBorder="1"/>
    <xf numFmtId="0" fontId="2" fillId="0" borderId="6" xfId="0" applyFont="1" applyBorder="1" applyAlignment="1">
      <alignment horizontal="right" vertical="center" indent="1"/>
    </xf>
    <xf numFmtId="0" fontId="2" fillId="0" borderId="7" xfId="0" applyFont="1" applyBorder="1" applyAlignment="1">
      <alignment horizontal="right" vertical="center" indent="1"/>
    </xf>
    <xf numFmtId="0" fontId="2" fillId="0" borderId="8" xfId="0" applyFont="1" applyBorder="1" applyAlignment="1">
      <alignment horizontal="right" vertical="center" indent="1"/>
    </xf>
    <xf numFmtId="166" fontId="2" fillId="0" borderId="1" xfId="1" applyNumberFormat="1" applyFont="1" applyBorder="1"/>
    <xf numFmtId="166" fontId="2" fillId="0" borderId="1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32DB-AB43-45AF-A691-A70A58F26764}">
  <dimension ref="A1:G280"/>
  <sheetViews>
    <sheetView tabSelected="1" workbookViewId="0">
      <selection activeCell="C32" sqref="C32"/>
    </sheetView>
  </sheetViews>
  <sheetFormatPr defaultRowHeight="15" x14ac:dyDescent="0.25"/>
  <cols>
    <col min="1" max="1" width="4" bestFit="1" customWidth="1"/>
    <col min="2" max="2" width="20.42578125" customWidth="1"/>
    <col min="3" max="3" width="45.7109375" customWidth="1"/>
    <col min="4" max="4" width="12.85546875" bestFit="1" customWidth="1"/>
    <col min="5" max="7" width="11" bestFit="1" customWidth="1"/>
  </cols>
  <sheetData>
    <row r="1" spans="1:7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1</v>
      </c>
      <c r="B2" s="3">
        <v>45658</v>
      </c>
      <c r="C2" s="4" t="s">
        <v>7</v>
      </c>
      <c r="D2" s="5" t="s">
        <v>8</v>
      </c>
      <c r="E2" s="6">
        <v>8265400</v>
      </c>
      <c r="F2" s="7"/>
      <c r="G2" s="7">
        <f>E2-F2</f>
        <v>8265400</v>
      </c>
    </row>
    <row r="3" spans="1:7" x14ac:dyDescent="0.25">
      <c r="A3" s="8">
        <v>2</v>
      </c>
      <c r="B3" s="3">
        <v>45670</v>
      </c>
      <c r="C3" s="4" t="s">
        <v>9</v>
      </c>
      <c r="D3" s="5" t="s">
        <v>10</v>
      </c>
      <c r="E3" s="6"/>
      <c r="F3" s="9">
        <v>300000</v>
      </c>
      <c r="G3" s="9">
        <f>G2+E3-F3</f>
        <v>7965400</v>
      </c>
    </row>
    <row r="4" spans="1:7" x14ac:dyDescent="0.25">
      <c r="A4" s="8">
        <v>3</v>
      </c>
      <c r="B4" s="3">
        <v>45670</v>
      </c>
      <c r="C4" s="4" t="s">
        <v>11</v>
      </c>
      <c r="D4" s="5" t="s">
        <v>10</v>
      </c>
      <c r="E4" s="6"/>
      <c r="F4" s="9">
        <v>47000</v>
      </c>
      <c r="G4" s="9">
        <f t="shared" ref="G4:G67" si="0">G3+E4-F4</f>
        <v>7918400</v>
      </c>
    </row>
    <row r="5" spans="1:7" ht="15.75" thickBot="1" x14ac:dyDescent="0.3">
      <c r="A5" s="10">
        <v>4</v>
      </c>
      <c r="B5" s="3">
        <v>45670</v>
      </c>
      <c r="C5" s="4" t="s">
        <v>12</v>
      </c>
      <c r="D5" s="5" t="s">
        <v>13</v>
      </c>
      <c r="E5" s="6"/>
      <c r="F5" s="9">
        <v>23000</v>
      </c>
      <c r="G5" s="9">
        <f t="shared" si="0"/>
        <v>7895400</v>
      </c>
    </row>
    <row r="6" spans="1:7" x14ac:dyDescent="0.25">
      <c r="A6" s="2">
        <v>5</v>
      </c>
      <c r="B6" s="3">
        <v>45670</v>
      </c>
      <c r="C6" s="4" t="s">
        <v>14</v>
      </c>
      <c r="D6" s="5" t="s">
        <v>15</v>
      </c>
      <c r="E6" s="9"/>
      <c r="F6" s="9">
        <v>8500000</v>
      </c>
      <c r="G6" s="9">
        <f t="shared" si="0"/>
        <v>-604600</v>
      </c>
    </row>
    <row r="7" spans="1:7" x14ac:dyDescent="0.25">
      <c r="A7" s="8">
        <v>6</v>
      </c>
      <c r="B7" s="3">
        <v>45674</v>
      </c>
      <c r="C7" s="4" t="s">
        <v>16</v>
      </c>
      <c r="D7" s="5" t="s">
        <v>17</v>
      </c>
      <c r="E7" s="6">
        <v>200000</v>
      </c>
      <c r="F7" s="9"/>
      <c r="G7" s="9">
        <f t="shared" si="0"/>
        <v>-404600</v>
      </c>
    </row>
    <row r="8" spans="1:7" x14ac:dyDescent="0.25">
      <c r="A8" s="8">
        <v>7</v>
      </c>
      <c r="B8" s="3">
        <v>45681</v>
      </c>
      <c r="C8" s="4" t="s">
        <v>16</v>
      </c>
      <c r="D8" s="5" t="s">
        <v>17</v>
      </c>
      <c r="E8" s="6">
        <v>200000</v>
      </c>
      <c r="F8" s="9"/>
      <c r="G8" s="9">
        <f t="shared" si="0"/>
        <v>-204600</v>
      </c>
    </row>
    <row r="9" spans="1:7" ht="15.75" thickBot="1" x14ac:dyDescent="0.3">
      <c r="A9" s="10">
        <v>8</v>
      </c>
      <c r="B9" s="3">
        <v>45685</v>
      </c>
      <c r="C9" s="4" t="s">
        <v>18</v>
      </c>
      <c r="D9" s="5" t="s">
        <v>17</v>
      </c>
      <c r="E9" s="6">
        <v>300000</v>
      </c>
      <c r="F9" s="9"/>
      <c r="G9" s="9">
        <f t="shared" si="0"/>
        <v>95400</v>
      </c>
    </row>
    <row r="10" spans="1:7" x14ac:dyDescent="0.25">
      <c r="A10" s="2">
        <v>9</v>
      </c>
      <c r="B10" s="3">
        <v>45695</v>
      </c>
      <c r="C10" s="4" t="s">
        <v>16</v>
      </c>
      <c r="D10" s="5" t="s">
        <v>17</v>
      </c>
      <c r="E10" s="6">
        <v>200000</v>
      </c>
      <c r="F10" s="9"/>
      <c r="G10" s="9">
        <f t="shared" si="0"/>
        <v>295400</v>
      </c>
    </row>
    <row r="11" spans="1:7" x14ac:dyDescent="0.25">
      <c r="A11" s="8">
        <v>10</v>
      </c>
      <c r="B11" s="3">
        <v>45696</v>
      </c>
      <c r="C11" s="4" t="s">
        <v>16</v>
      </c>
      <c r="D11" s="5" t="s">
        <v>17</v>
      </c>
      <c r="E11" s="6">
        <v>200000</v>
      </c>
      <c r="F11" s="9"/>
      <c r="G11" s="9">
        <f t="shared" si="0"/>
        <v>495400</v>
      </c>
    </row>
    <row r="12" spans="1:7" x14ac:dyDescent="0.25">
      <c r="A12" s="8">
        <v>11</v>
      </c>
      <c r="B12" s="3">
        <v>45696</v>
      </c>
      <c r="C12" s="4" t="s">
        <v>18</v>
      </c>
      <c r="D12" s="5" t="s">
        <v>17</v>
      </c>
      <c r="E12" s="6">
        <v>300000</v>
      </c>
      <c r="F12" s="9"/>
      <c r="G12" s="9">
        <f t="shared" si="0"/>
        <v>795400</v>
      </c>
    </row>
    <row r="13" spans="1:7" ht="15.75" thickBot="1" x14ac:dyDescent="0.3">
      <c r="A13" s="10">
        <v>12</v>
      </c>
      <c r="B13" s="3">
        <v>45699</v>
      </c>
      <c r="C13" s="4" t="s">
        <v>19</v>
      </c>
      <c r="D13" s="5" t="s">
        <v>17</v>
      </c>
      <c r="E13" s="6">
        <v>10000000</v>
      </c>
      <c r="F13" s="9"/>
      <c r="G13" s="9">
        <f t="shared" si="0"/>
        <v>10795400</v>
      </c>
    </row>
    <row r="14" spans="1:7" x14ac:dyDescent="0.25">
      <c r="A14" s="2">
        <v>13</v>
      </c>
      <c r="B14" s="3">
        <v>45700</v>
      </c>
      <c r="C14" s="4" t="s">
        <v>20</v>
      </c>
      <c r="D14" s="5" t="s">
        <v>10</v>
      </c>
      <c r="E14" s="6"/>
      <c r="F14" s="9">
        <v>873000</v>
      </c>
      <c r="G14" s="9">
        <f t="shared" si="0"/>
        <v>9922400</v>
      </c>
    </row>
    <row r="15" spans="1:7" x14ac:dyDescent="0.25">
      <c r="A15" s="8">
        <v>14</v>
      </c>
      <c r="B15" s="3">
        <v>45700</v>
      </c>
      <c r="C15" s="4" t="s">
        <v>21</v>
      </c>
      <c r="D15" s="5" t="s">
        <v>10</v>
      </c>
      <c r="E15" s="6"/>
      <c r="F15" s="9">
        <v>189000</v>
      </c>
      <c r="G15" s="9">
        <f t="shared" si="0"/>
        <v>9733400</v>
      </c>
    </row>
    <row r="16" spans="1:7" x14ac:dyDescent="0.25">
      <c r="A16" s="8">
        <v>15</v>
      </c>
      <c r="B16" s="3">
        <v>45700</v>
      </c>
      <c r="C16" s="4" t="s">
        <v>22</v>
      </c>
      <c r="D16" s="5" t="s">
        <v>13</v>
      </c>
      <c r="E16" s="6"/>
      <c r="F16" s="9">
        <v>44000</v>
      </c>
      <c r="G16" s="9">
        <f t="shared" si="0"/>
        <v>9689400</v>
      </c>
    </row>
    <row r="17" spans="1:7" ht="15.75" thickBot="1" x14ac:dyDescent="0.3">
      <c r="A17" s="10">
        <v>16</v>
      </c>
      <c r="B17" s="3">
        <v>45702</v>
      </c>
      <c r="C17" s="4" t="s">
        <v>23</v>
      </c>
      <c r="D17" s="5" t="s">
        <v>24</v>
      </c>
      <c r="E17" s="6">
        <v>200000</v>
      </c>
      <c r="F17" s="9"/>
      <c r="G17" s="9">
        <f t="shared" si="0"/>
        <v>9889400</v>
      </c>
    </row>
    <row r="18" spans="1:7" x14ac:dyDescent="0.25">
      <c r="A18" s="2">
        <v>17</v>
      </c>
      <c r="B18" s="3">
        <v>45702</v>
      </c>
      <c r="C18" s="4" t="s">
        <v>16</v>
      </c>
      <c r="D18" s="5" t="s">
        <v>17</v>
      </c>
      <c r="E18" s="9">
        <v>200000</v>
      </c>
      <c r="F18" s="9"/>
      <c r="G18" s="9">
        <f t="shared" si="0"/>
        <v>10089400</v>
      </c>
    </row>
    <row r="19" spans="1:7" x14ac:dyDescent="0.25">
      <c r="A19" s="8">
        <v>18</v>
      </c>
      <c r="B19" s="3">
        <v>45702</v>
      </c>
      <c r="C19" s="5" t="s">
        <v>25</v>
      </c>
      <c r="D19" s="5" t="s">
        <v>10</v>
      </c>
      <c r="E19" s="11"/>
      <c r="F19" s="11">
        <v>1299000</v>
      </c>
      <c r="G19" s="9">
        <f t="shared" si="0"/>
        <v>8790400</v>
      </c>
    </row>
    <row r="20" spans="1:7" x14ac:dyDescent="0.25">
      <c r="A20" s="8">
        <v>19</v>
      </c>
      <c r="B20" s="3">
        <v>45702</v>
      </c>
      <c r="C20" s="5" t="s">
        <v>26</v>
      </c>
      <c r="D20" s="5" t="s">
        <v>10</v>
      </c>
      <c r="E20" s="9"/>
      <c r="F20" s="9">
        <v>15000</v>
      </c>
      <c r="G20" s="9">
        <f t="shared" si="0"/>
        <v>8775400</v>
      </c>
    </row>
    <row r="21" spans="1:7" ht="15.75" thickBot="1" x14ac:dyDescent="0.3">
      <c r="A21" s="10">
        <v>20</v>
      </c>
      <c r="B21" s="3">
        <v>45702</v>
      </c>
      <c r="C21" s="5" t="s">
        <v>27</v>
      </c>
      <c r="D21" s="5" t="s">
        <v>10</v>
      </c>
      <c r="E21" s="12"/>
      <c r="F21" s="12">
        <v>100000</v>
      </c>
      <c r="G21" s="12">
        <f t="shared" si="0"/>
        <v>8675400</v>
      </c>
    </row>
    <row r="22" spans="1:7" x14ac:dyDescent="0.25">
      <c r="A22" s="2">
        <v>21</v>
      </c>
      <c r="B22" s="13">
        <v>45703</v>
      </c>
      <c r="C22" s="5" t="s">
        <v>28</v>
      </c>
      <c r="D22" s="5" t="s">
        <v>10</v>
      </c>
      <c r="E22" s="9"/>
      <c r="F22" s="9">
        <v>66000</v>
      </c>
      <c r="G22" s="9">
        <f t="shared" si="0"/>
        <v>8609400</v>
      </c>
    </row>
    <row r="23" spans="1:7" x14ac:dyDescent="0.25">
      <c r="A23" s="8">
        <v>22</v>
      </c>
      <c r="B23" s="13">
        <v>45703</v>
      </c>
      <c r="C23" s="5" t="s">
        <v>29</v>
      </c>
      <c r="D23" s="5" t="s">
        <v>15</v>
      </c>
      <c r="E23" s="9"/>
      <c r="F23" s="9">
        <v>450000</v>
      </c>
      <c r="G23" s="9">
        <f t="shared" si="0"/>
        <v>8159400</v>
      </c>
    </row>
    <row r="24" spans="1:7" x14ac:dyDescent="0.25">
      <c r="A24" s="8">
        <v>23</v>
      </c>
      <c r="B24" s="13">
        <v>45704</v>
      </c>
      <c r="C24" s="5" t="s">
        <v>30</v>
      </c>
      <c r="D24" s="5" t="s">
        <v>17</v>
      </c>
      <c r="E24" s="9">
        <v>1000000</v>
      </c>
      <c r="F24" s="9"/>
      <c r="G24" s="9">
        <f t="shared" si="0"/>
        <v>9159400</v>
      </c>
    </row>
    <row r="25" spans="1:7" ht="15.75" thickBot="1" x14ac:dyDescent="0.3">
      <c r="A25" s="10">
        <v>24</v>
      </c>
      <c r="B25" s="13">
        <v>45702</v>
      </c>
      <c r="C25" s="5" t="s">
        <v>31</v>
      </c>
      <c r="D25" s="5" t="s">
        <v>10</v>
      </c>
      <c r="E25" s="9"/>
      <c r="F25" s="9">
        <v>61450</v>
      </c>
      <c r="G25" s="9">
        <f t="shared" si="0"/>
        <v>9097950</v>
      </c>
    </row>
    <row r="26" spans="1:7" x14ac:dyDescent="0.25">
      <c r="A26" s="2">
        <v>25</v>
      </c>
      <c r="B26" s="13">
        <v>45706</v>
      </c>
      <c r="C26" s="5" t="s">
        <v>32</v>
      </c>
      <c r="D26" s="5" t="s">
        <v>10</v>
      </c>
      <c r="E26" s="9"/>
      <c r="F26" s="12">
        <v>1800000</v>
      </c>
      <c r="G26" s="9">
        <f t="shared" si="0"/>
        <v>7297950</v>
      </c>
    </row>
    <row r="27" spans="1:7" x14ac:dyDescent="0.25">
      <c r="A27" s="8">
        <v>26</v>
      </c>
      <c r="B27" s="13">
        <v>45706</v>
      </c>
      <c r="C27" s="5" t="s">
        <v>33</v>
      </c>
      <c r="D27" s="5" t="s">
        <v>10</v>
      </c>
      <c r="E27" s="9"/>
      <c r="F27" s="12">
        <v>60000</v>
      </c>
      <c r="G27" s="9">
        <f t="shared" si="0"/>
        <v>7237950</v>
      </c>
    </row>
    <row r="28" spans="1:7" x14ac:dyDescent="0.25">
      <c r="A28" s="8">
        <v>27</v>
      </c>
      <c r="B28" s="13">
        <v>45706</v>
      </c>
      <c r="C28" s="5" t="s">
        <v>34</v>
      </c>
      <c r="D28" s="5" t="s">
        <v>10</v>
      </c>
      <c r="E28" s="9"/>
      <c r="F28" s="12">
        <v>43000</v>
      </c>
      <c r="G28" s="14">
        <f t="shared" si="0"/>
        <v>7194950</v>
      </c>
    </row>
    <row r="29" spans="1:7" ht="15.75" thickBot="1" x14ac:dyDescent="0.3">
      <c r="A29" s="10">
        <v>28</v>
      </c>
      <c r="B29" s="13">
        <v>45706</v>
      </c>
      <c r="C29" s="5" t="s">
        <v>35</v>
      </c>
      <c r="D29" s="5" t="s">
        <v>10</v>
      </c>
      <c r="E29" s="9"/>
      <c r="F29" s="12">
        <v>200000</v>
      </c>
      <c r="G29" s="14">
        <f t="shared" si="0"/>
        <v>6994950</v>
      </c>
    </row>
    <row r="30" spans="1:7" x14ac:dyDescent="0.25">
      <c r="A30" s="2">
        <v>29</v>
      </c>
      <c r="B30" s="13">
        <v>45706</v>
      </c>
      <c r="C30" s="5" t="s">
        <v>36</v>
      </c>
      <c r="D30" s="5" t="s">
        <v>10</v>
      </c>
      <c r="E30" s="9"/>
      <c r="F30" s="12">
        <v>15000</v>
      </c>
      <c r="G30" s="14">
        <f t="shared" si="0"/>
        <v>6979950</v>
      </c>
    </row>
    <row r="31" spans="1:7" x14ac:dyDescent="0.25">
      <c r="A31" s="8">
        <v>30</v>
      </c>
      <c r="B31" s="13">
        <v>45707</v>
      </c>
      <c r="C31" s="5" t="s">
        <v>37</v>
      </c>
      <c r="D31" s="5" t="s">
        <v>10</v>
      </c>
      <c r="E31" s="9"/>
      <c r="F31" s="12">
        <v>25000</v>
      </c>
      <c r="G31" s="14">
        <f t="shared" si="0"/>
        <v>6954950</v>
      </c>
    </row>
    <row r="32" spans="1:7" x14ac:dyDescent="0.25">
      <c r="A32" s="8">
        <v>31</v>
      </c>
      <c r="B32" s="13">
        <v>45707</v>
      </c>
      <c r="C32" s="15" t="s">
        <v>38</v>
      </c>
      <c r="D32" s="5" t="s">
        <v>10</v>
      </c>
      <c r="E32" s="16"/>
      <c r="F32" s="16">
        <v>150000</v>
      </c>
      <c r="G32" s="17">
        <f t="shared" si="0"/>
        <v>6804950</v>
      </c>
    </row>
    <row r="33" spans="1:7" ht="15.75" thickBot="1" x14ac:dyDescent="0.3">
      <c r="A33" s="10">
        <v>32</v>
      </c>
      <c r="B33" s="13">
        <v>45707</v>
      </c>
      <c r="C33" s="18" t="s">
        <v>9</v>
      </c>
      <c r="D33" s="5" t="s">
        <v>10</v>
      </c>
      <c r="E33" s="11"/>
      <c r="F33" s="11">
        <v>300000</v>
      </c>
      <c r="G33" s="14">
        <f t="shared" si="0"/>
        <v>6504950</v>
      </c>
    </row>
    <row r="34" spans="1:7" x14ac:dyDescent="0.25">
      <c r="A34" s="2">
        <v>33</v>
      </c>
      <c r="B34" s="13">
        <v>45707</v>
      </c>
      <c r="C34" s="18" t="s">
        <v>39</v>
      </c>
      <c r="D34" s="5" t="s">
        <v>10</v>
      </c>
      <c r="E34" s="11"/>
      <c r="F34" s="11">
        <v>30000</v>
      </c>
      <c r="G34" s="14">
        <f t="shared" si="0"/>
        <v>6474950</v>
      </c>
    </row>
    <row r="35" spans="1:7" x14ac:dyDescent="0.25">
      <c r="A35" s="8">
        <v>34</v>
      </c>
      <c r="B35" s="13">
        <v>45707</v>
      </c>
      <c r="C35" s="18" t="s">
        <v>40</v>
      </c>
      <c r="D35" s="5" t="s">
        <v>10</v>
      </c>
      <c r="E35" s="11"/>
      <c r="F35" s="11">
        <v>823000</v>
      </c>
      <c r="G35" s="9">
        <f t="shared" si="0"/>
        <v>5651950</v>
      </c>
    </row>
    <row r="36" spans="1:7" x14ac:dyDescent="0.25">
      <c r="A36" s="8">
        <v>35</v>
      </c>
      <c r="B36" s="19">
        <v>45708</v>
      </c>
      <c r="C36" s="4" t="s">
        <v>16</v>
      </c>
      <c r="D36" s="5" t="s">
        <v>17</v>
      </c>
      <c r="E36" s="11">
        <v>500000</v>
      </c>
      <c r="F36" s="11"/>
      <c r="G36" s="9">
        <f t="shared" si="0"/>
        <v>6151950</v>
      </c>
    </row>
    <row r="37" spans="1:7" ht="15.75" thickBot="1" x14ac:dyDescent="0.3">
      <c r="A37" s="10">
        <v>36</v>
      </c>
      <c r="B37" s="19">
        <v>45708</v>
      </c>
      <c r="C37" s="18" t="s">
        <v>41</v>
      </c>
      <c r="D37" s="5" t="s">
        <v>10</v>
      </c>
      <c r="E37" s="11"/>
      <c r="F37" s="11">
        <v>105000</v>
      </c>
      <c r="G37" s="9">
        <f t="shared" si="0"/>
        <v>6046950</v>
      </c>
    </row>
    <row r="38" spans="1:7" x14ac:dyDescent="0.25">
      <c r="A38" s="2">
        <v>37</v>
      </c>
      <c r="B38" s="19">
        <v>45708</v>
      </c>
      <c r="C38" s="18" t="s">
        <v>42</v>
      </c>
      <c r="D38" s="5" t="s">
        <v>10</v>
      </c>
      <c r="E38" s="11"/>
      <c r="F38" s="11">
        <v>21000</v>
      </c>
      <c r="G38" s="9">
        <f t="shared" si="0"/>
        <v>6025950</v>
      </c>
    </row>
    <row r="39" spans="1:7" x14ac:dyDescent="0.25">
      <c r="A39" s="8">
        <v>38</v>
      </c>
      <c r="B39" s="19">
        <v>45708</v>
      </c>
      <c r="C39" s="18" t="s">
        <v>43</v>
      </c>
      <c r="D39" s="5" t="s">
        <v>10</v>
      </c>
      <c r="E39" s="11"/>
      <c r="F39" s="11">
        <v>18000</v>
      </c>
      <c r="G39" s="9">
        <f t="shared" si="0"/>
        <v>6007950</v>
      </c>
    </row>
    <row r="40" spans="1:7" x14ac:dyDescent="0.25">
      <c r="A40" s="8">
        <v>39</v>
      </c>
      <c r="B40" s="19">
        <v>45708</v>
      </c>
      <c r="C40" s="18" t="s">
        <v>44</v>
      </c>
      <c r="D40" s="5" t="s">
        <v>13</v>
      </c>
      <c r="E40" s="11"/>
      <c r="F40" s="11">
        <v>19000</v>
      </c>
      <c r="G40" s="9">
        <f t="shared" si="0"/>
        <v>5988950</v>
      </c>
    </row>
    <row r="41" spans="1:7" ht="15.75" thickBot="1" x14ac:dyDescent="0.3">
      <c r="A41" s="10">
        <v>40</v>
      </c>
      <c r="B41" s="19">
        <v>45709</v>
      </c>
      <c r="C41" s="18" t="s">
        <v>45</v>
      </c>
      <c r="D41" s="5" t="s">
        <v>10</v>
      </c>
      <c r="E41" s="11"/>
      <c r="F41" s="11">
        <v>117000</v>
      </c>
      <c r="G41" s="9">
        <f t="shared" si="0"/>
        <v>5871950</v>
      </c>
    </row>
    <row r="42" spans="1:7" x14ac:dyDescent="0.25">
      <c r="A42" s="2">
        <v>41</v>
      </c>
      <c r="B42" s="19">
        <v>45709</v>
      </c>
      <c r="C42" s="18" t="s">
        <v>46</v>
      </c>
      <c r="D42" s="5" t="s">
        <v>10</v>
      </c>
      <c r="E42" s="11"/>
      <c r="F42" s="11">
        <v>14000</v>
      </c>
      <c r="G42" s="9">
        <f t="shared" si="0"/>
        <v>5857950</v>
      </c>
    </row>
    <row r="43" spans="1:7" x14ac:dyDescent="0.25">
      <c r="A43" s="8">
        <v>42</v>
      </c>
      <c r="B43" s="19">
        <v>45709</v>
      </c>
      <c r="C43" s="18" t="s">
        <v>47</v>
      </c>
      <c r="D43" s="5" t="s">
        <v>10</v>
      </c>
      <c r="E43" s="11"/>
      <c r="F43" s="11">
        <v>70000</v>
      </c>
      <c r="G43" s="9">
        <f t="shared" si="0"/>
        <v>5787950</v>
      </c>
    </row>
    <row r="44" spans="1:7" x14ac:dyDescent="0.25">
      <c r="A44" s="8">
        <v>43</v>
      </c>
      <c r="B44" s="19">
        <v>45710</v>
      </c>
      <c r="C44" s="18" t="s">
        <v>48</v>
      </c>
      <c r="D44" s="5" t="s">
        <v>15</v>
      </c>
      <c r="E44" s="11"/>
      <c r="F44" s="11">
        <v>800000</v>
      </c>
      <c r="G44" s="9">
        <f t="shared" si="0"/>
        <v>4987950</v>
      </c>
    </row>
    <row r="45" spans="1:7" ht="15.75" thickBot="1" x14ac:dyDescent="0.3">
      <c r="A45" s="10">
        <v>44</v>
      </c>
      <c r="B45" s="19">
        <v>45710</v>
      </c>
      <c r="C45" s="18" t="s">
        <v>49</v>
      </c>
      <c r="D45" s="5" t="s">
        <v>15</v>
      </c>
      <c r="E45" s="9"/>
      <c r="F45" s="12">
        <v>600000</v>
      </c>
      <c r="G45" s="9">
        <f t="shared" si="0"/>
        <v>4387950</v>
      </c>
    </row>
    <row r="46" spans="1:7" x14ac:dyDescent="0.25">
      <c r="A46" s="2">
        <v>45</v>
      </c>
      <c r="B46" s="19">
        <v>45710</v>
      </c>
      <c r="C46" s="18" t="s">
        <v>50</v>
      </c>
      <c r="D46" s="5" t="s">
        <v>15</v>
      </c>
      <c r="E46" s="9"/>
      <c r="F46" s="12">
        <v>900000</v>
      </c>
      <c r="G46" s="9">
        <f t="shared" si="0"/>
        <v>3487950</v>
      </c>
    </row>
    <row r="47" spans="1:7" x14ac:dyDescent="0.25">
      <c r="A47" s="8">
        <v>46</v>
      </c>
      <c r="B47" s="19">
        <v>45710</v>
      </c>
      <c r="C47" s="18" t="s">
        <v>51</v>
      </c>
      <c r="D47" s="5" t="s">
        <v>15</v>
      </c>
      <c r="E47" s="9"/>
      <c r="F47" s="12">
        <v>840000</v>
      </c>
      <c r="G47" s="9">
        <f t="shared" si="0"/>
        <v>2647950</v>
      </c>
    </row>
    <row r="48" spans="1:7" x14ac:dyDescent="0.25">
      <c r="A48" s="8">
        <v>47</v>
      </c>
      <c r="B48" s="13">
        <v>45712</v>
      </c>
      <c r="C48" s="5" t="s">
        <v>52</v>
      </c>
      <c r="D48" s="5" t="s">
        <v>24</v>
      </c>
      <c r="E48" s="9">
        <v>40000</v>
      </c>
      <c r="F48" s="12"/>
      <c r="G48" s="9">
        <f t="shared" si="0"/>
        <v>2687950</v>
      </c>
    </row>
    <row r="49" spans="1:7" ht="15.75" thickBot="1" x14ac:dyDescent="0.3">
      <c r="A49" s="10">
        <v>48</v>
      </c>
      <c r="B49" s="13">
        <v>45712</v>
      </c>
      <c r="C49" s="18" t="s">
        <v>53</v>
      </c>
      <c r="D49" s="5" t="s">
        <v>13</v>
      </c>
      <c r="E49" s="20"/>
      <c r="F49" s="11">
        <v>19000</v>
      </c>
      <c r="G49" s="9">
        <f t="shared" si="0"/>
        <v>2668950</v>
      </c>
    </row>
    <row r="50" spans="1:7" x14ac:dyDescent="0.25">
      <c r="A50" s="2">
        <v>49</v>
      </c>
      <c r="B50" s="13">
        <v>45712</v>
      </c>
      <c r="C50" s="18" t="s">
        <v>54</v>
      </c>
      <c r="D50" s="5" t="s">
        <v>10</v>
      </c>
      <c r="E50" s="20"/>
      <c r="F50" s="11">
        <v>186000</v>
      </c>
      <c r="G50" s="9">
        <f t="shared" si="0"/>
        <v>2482950</v>
      </c>
    </row>
    <row r="51" spans="1:7" x14ac:dyDescent="0.25">
      <c r="A51" s="8">
        <v>50</v>
      </c>
      <c r="B51" s="13">
        <v>45712</v>
      </c>
      <c r="C51" s="5" t="s">
        <v>55</v>
      </c>
      <c r="D51" s="5" t="s">
        <v>10</v>
      </c>
      <c r="E51" s="9"/>
      <c r="F51" s="12">
        <v>75000</v>
      </c>
      <c r="G51" s="9">
        <f t="shared" si="0"/>
        <v>2407950</v>
      </c>
    </row>
    <row r="52" spans="1:7" x14ac:dyDescent="0.25">
      <c r="A52" s="8">
        <v>51</v>
      </c>
      <c r="B52" s="13">
        <v>45713</v>
      </c>
      <c r="C52" s="5" t="s">
        <v>56</v>
      </c>
      <c r="D52" s="5" t="s">
        <v>17</v>
      </c>
      <c r="E52" s="9">
        <v>1500000</v>
      </c>
      <c r="F52" s="12"/>
      <c r="G52" s="9">
        <f t="shared" si="0"/>
        <v>3907950</v>
      </c>
    </row>
    <row r="53" spans="1:7" ht="15.75" thickBot="1" x14ac:dyDescent="0.3">
      <c r="A53" s="10">
        <v>52</v>
      </c>
      <c r="B53" s="13">
        <v>45713</v>
      </c>
      <c r="C53" s="5" t="s">
        <v>57</v>
      </c>
      <c r="D53" s="5" t="s">
        <v>10</v>
      </c>
      <c r="E53" s="9"/>
      <c r="F53" s="12">
        <v>74000</v>
      </c>
      <c r="G53" s="9">
        <f t="shared" si="0"/>
        <v>3833950</v>
      </c>
    </row>
    <row r="54" spans="1:7" x14ac:dyDescent="0.25">
      <c r="A54" s="2">
        <v>53</v>
      </c>
      <c r="B54" s="13">
        <v>45714</v>
      </c>
      <c r="C54" s="5" t="s">
        <v>58</v>
      </c>
      <c r="D54" s="5" t="s">
        <v>10</v>
      </c>
      <c r="E54" s="9"/>
      <c r="F54" s="12">
        <v>50000</v>
      </c>
      <c r="G54" s="9">
        <f t="shared" si="0"/>
        <v>3783950</v>
      </c>
    </row>
    <row r="55" spans="1:7" x14ac:dyDescent="0.25">
      <c r="A55" s="8">
        <v>54</v>
      </c>
      <c r="B55" s="13">
        <v>45714</v>
      </c>
      <c r="C55" s="5" t="s">
        <v>59</v>
      </c>
      <c r="D55" s="5" t="s">
        <v>10</v>
      </c>
      <c r="E55" s="9"/>
      <c r="F55" s="12">
        <v>125000</v>
      </c>
      <c r="G55" s="9">
        <f t="shared" si="0"/>
        <v>3658950</v>
      </c>
    </row>
    <row r="56" spans="1:7" x14ac:dyDescent="0.25">
      <c r="A56" s="8">
        <v>55</v>
      </c>
      <c r="B56" s="13">
        <v>45715</v>
      </c>
      <c r="C56" s="5" t="s">
        <v>60</v>
      </c>
      <c r="D56" s="5" t="s">
        <v>10</v>
      </c>
      <c r="E56" s="9"/>
      <c r="F56" s="12">
        <v>40500</v>
      </c>
      <c r="G56" s="9">
        <f t="shared" si="0"/>
        <v>3618450</v>
      </c>
    </row>
    <row r="57" spans="1:7" ht="15.75" thickBot="1" x14ac:dyDescent="0.3">
      <c r="A57" s="10">
        <v>56</v>
      </c>
      <c r="B57" s="13">
        <v>45715</v>
      </c>
      <c r="C57" s="5" t="s">
        <v>61</v>
      </c>
      <c r="D57" s="5" t="s">
        <v>10</v>
      </c>
      <c r="E57" s="9"/>
      <c r="F57" s="12">
        <v>25000</v>
      </c>
      <c r="G57" s="9">
        <f t="shared" si="0"/>
        <v>3593450</v>
      </c>
    </row>
    <row r="58" spans="1:7" x14ac:dyDescent="0.25">
      <c r="A58" s="2">
        <v>57</v>
      </c>
      <c r="B58" s="13">
        <v>45715</v>
      </c>
      <c r="C58" s="5" t="s">
        <v>62</v>
      </c>
      <c r="D58" s="5" t="s">
        <v>10</v>
      </c>
      <c r="E58" s="9"/>
      <c r="F58" s="12">
        <v>28000</v>
      </c>
      <c r="G58" s="9">
        <f t="shared" si="0"/>
        <v>3565450</v>
      </c>
    </row>
    <row r="59" spans="1:7" x14ac:dyDescent="0.25">
      <c r="A59" s="8">
        <v>58</v>
      </c>
      <c r="B59" s="13">
        <v>45715</v>
      </c>
      <c r="C59" s="5" t="s">
        <v>63</v>
      </c>
      <c r="D59" s="5" t="s">
        <v>10</v>
      </c>
      <c r="E59" s="9"/>
      <c r="F59" s="12">
        <v>100000</v>
      </c>
      <c r="G59" s="9">
        <f t="shared" si="0"/>
        <v>3465450</v>
      </c>
    </row>
    <row r="60" spans="1:7" x14ac:dyDescent="0.25">
      <c r="A60" s="8">
        <v>59</v>
      </c>
      <c r="B60" s="13">
        <v>45715</v>
      </c>
      <c r="C60" s="5" t="s">
        <v>64</v>
      </c>
      <c r="D60" s="5" t="s">
        <v>10</v>
      </c>
      <c r="E60" s="9"/>
      <c r="F60" s="12">
        <v>60000</v>
      </c>
      <c r="G60" s="9">
        <f t="shared" si="0"/>
        <v>3405450</v>
      </c>
    </row>
    <row r="61" spans="1:7" ht="15.75" thickBot="1" x14ac:dyDescent="0.3">
      <c r="A61" s="10">
        <v>60</v>
      </c>
      <c r="B61" s="13">
        <v>45715</v>
      </c>
      <c r="C61" s="5" t="s">
        <v>65</v>
      </c>
      <c r="D61" s="5" t="s">
        <v>15</v>
      </c>
      <c r="E61" s="9"/>
      <c r="F61" s="12">
        <v>1500000</v>
      </c>
      <c r="G61" s="9">
        <f t="shared" si="0"/>
        <v>1905450</v>
      </c>
    </row>
    <row r="62" spans="1:7" x14ac:dyDescent="0.25">
      <c r="A62" s="2">
        <v>61</v>
      </c>
      <c r="B62" s="13">
        <v>45716</v>
      </c>
      <c r="C62" s="5" t="s">
        <v>66</v>
      </c>
      <c r="D62" s="5" t="s">
        <v>17</v>
      </c>
      <c r="E62" s="9">
        <v>100000</v>
      </c>
      <c r="F62" s="12"/>
      <c r="G62" s="9">
        <f t="shared" si="0"/>
        <v>2005450</v>
      </c>
    </row>
    <row r="63" spans="1:7" x14ac:dyDescent="0.25">
      <c r="A63" s="8">
        <v>62</v>
      </c>
      <c r="B63" s="13">
        <v>45717</v>
      </c>
      <c r="C63" s="5" t="s">
        <v>67</v>
      </c>
      <c r="D63" s="5" t="s">
        <v>10</v>
      </c>
      <c r="E63" s="9"/>
      <c r="F63" s="12">
        <v>699500</v>
      </c>
      <c r="G63" s="9">
        <f t="shared" si="0"/>
        <v>1305950</v>
      </c>
    </row>
    <row r="64" spans="1:7" x14ac:dyDescent="0.25">
      <c r="A64" s="8">
        <v>63</v>
      </c>
      <c r="B64" s="13">
        <v>45737</v>
      </c>
      <c r="C64" s="5" t="s">
        <v>68</v>
      </c>
      <c r="D64" s="5" t="s">
        <v>17</v>
      </c>
      <c r="E64" s="9">
        <v>500000</v>
      </c>
      <c r="F64" s="12"/>
      <c r="G64" s="9">
        <f t="shared" si="0"/>
        <v>1805950</v>
      </c>
    </row>
    <row r="65" spans="1:7" ht="15.75" thickBot="1" x14ac:dyDescent="0.3">
      <c r="A65" s="10">
        <v>64</v>
      </c>
      <c r="B65" s="13">
        <v>45737</v>
      </c>
      <c r="C65" s="5" t="s">
        <v>69</v>
      </c>
      <c r="D65" s="5" t="s">
        <v>17</v>
      </c>
      <c r="E65" s="9">
        <v>300000</v>
      </c>
      <c r="F65" s="12"/>
      <c r="G65" s="9">
        <f t="shared" si="0"/>
        <v>2105950</v>
      </c>
    </row>
    <row r="66" spans="1:7" x14ac:dyDescent="0.25">
      <c r="A66" s="2">
        <v>65</v>
      </c>
      <c r="B66" s="13">
        <v>45737</v>
      </c>
      <c r="C66" s="5" t="s">
        <v>70</v>
      </c>
      <c r="D66" s="5" t="s">
        <v>17</v>
      </c>
      <c r="E66" s="9">
        <v>500000</v>
      </c>
      <c r="F66" s="12"/>
      <c r="G66" s="9">
        <f t="shared" si="0"/>
        <v>2605950</v>
      </c>
    </row>
    <row r="67" spans="1:7" x14ac:dyDescent="0.25">
      <c r="A67" s="8">
        <v>66</v>
      </c>
      <c r="B67" s="13">
        <v>45737</v>
      </c>
      <c r="C67" s="5" t="s">
        <v>71</v>
      </c>
      <c r="D67" s="5" t="s">
        <v>17</v>
      </c>
      <c r="E67" s="9">
        <v>500000</v>
      </c>
      <c r="F67" s="12"/>
      <c r="G67" s="9">
        <f t="shared" si="0"/>
        <v>3105950</v>
      </c>
    </row>
    <row r="68" spans="1:7" x14ac:dyDescent="0.25">
      <c r="A68" s="8">
        <v>67</v>
      </c>
      <c r="B68" s="13">
        <v>45737</v>
      </c>
      <c r="C68" s="18" t="s">
        <v>72</v>
      </c>
      <c r="D68" s="5" t="s">
        <v>10</v>
      </c>
      <c r="E68" s="11"/>
      <c r="F68" s="21">
        <v>524000</v>
      </c>
      <c r="G68" s="9">
        <f t="shared" ref="G68:G131" si="1">G67+E68-F68</f>
        <v>2581950</v>
      </c>
    </row>
    <row r="69" spans="1:7" ht="15.75" thickBot="1" x14ac:dyDescent="0.3">
      <c r="A69" s="10">
        <v>68</v>
      </c>
      <c r="B69" s="13">
        <v>45737</v>
      </c>
      <c r="C69" s="18" t="s">
        <v>73</v>
      </c>
      <c r="D69" s="5" t="s">
        <v>10</v>
      </c>
      <c r="E69" s="11"/>
      <c r="F69" s="21">
        <v>546000</v>
      </c>
      <c r="G69" s="9">
        <f t="shared" si="1"/>
        <v>2035950</v>
      </c>
    </row>
    <row r="70" spans="1:7" x14ac:dyDescent="0.25">
      <c r="A70" s="2">
        <v>69</v>
      </c>
      <c r="B70" s="13">
        <v>45737</v>
      </c>
      <c r="C70" s="18" t="s">
        <v>74</v>
      </c>
      <c r="D70" s="5" t="s">
        <v>10</v>
      </c>
      <c r="E70" s="11"/>
      <c r="F70" s="21">
        <v>1000000</v>
      </c>
      <c r="G70" s="9">
        <f t="shared" si="1"/>
        <v>1035950</v>
      </c>
    </row>
    <row r="71" spans="1:7" x14ac:dyDescent="0.25">
      <c r="A71" s="8">
        <v>70</v>
      </c>
      <c r="B71" s="13">
        <v>45737</v>
      </c>
      <c r="C71" s="18" t="s">
        <v>75</v>
      </c>
      <c r="D71" s="5" t="s">
        <v>10</v>
      </c>
      <c r="E71" s="9"/>
      <c r="F71" s="12">
        <v>107000</v>
      </c>
      <c r="G71" s="9">
        <f t="shared" si="1"/>
        <v>928950</v>
      </c>
    </row>
    <row r="72" spans="1:7" x14ac:dyDescent="0.25">
      <c r="A72" s="8">
        <v>71</v>
      </c>
      <c r="B72" s="19">
        <v>45741</v>
      </c>
      <c r="C72" s="18" t="s">
        <v>76</v>
      </c>
      <c r="D72" s="5" t="s">
        <v>17</v>
      </c>
      <c r="E72" s="22">
        <v>500000</v>
      </c>
      <c r="F72" s="9"/>
      <c r="G72" s="9">
        <f t="shared" si="1"/>
        <v>1428950</v>
      </c>
    </row>
    <row r="73" spans="1:7" ht="15.75" thickBot="1" x14ac:dyDescent="0.3">
      <c r="A73" s="10">
        <v>72</v>
      </c>
      <c r="B73" s="19">
        <v>45741</v>
      </c>
      <c r="C73" s="5" t="s">
        <v>77</v>
      </c>
      <c r="D73" s="5" t="s">
        <v>15</v>
      </c>
      <c r="E73" s="9"/>
      <c r="F73" s="12">
        <v>900000</v>
      </c>
      <c r="G73" s="9">
        <f t="shared" si="1"/>
        <v>528950</v>
      </c>
    </row>
    <row r="74" spans="1:7" x14ac:dyDescent="0.25">
      <c r="A74" s="2">
        <v>73</v>
      </c>
      <c r="B74" s="13">
        <v>45742</v>
      </c>
      <c r="C74" s="5" t="s">
        <v>78</v>
      </c>
      <c r="D74" s="5" t="s">
        <v>17</v>
      </c>
      <c r="E74" s="22">
        <v>1000000</v>
      </c>
      <c r="F74" s="9"/>
      <c r="G74" s="9">
        <f t="shared" si="1"/>
        <v>1528950</v>
      </c>
    </row>
    <row r="75" spans="1:7" x14ac:dyDescent="0.25">
      <c r="A75" s="8">
        <v>74</v>
      </c>
      <c r="B75" s="13">
        <v>45743</v>
      </c>
      <c r="C75" s="5" t="s">
        <v>79</v>
      </c>
      <c r="D75" s="5" t="s">
        <v>17</v>
      </c>
      <c r="E75" s="9">
        <v>500000</v>
      </c>
      <c r="F75" s="9"/>
      <c r="G75" s="9">
        <f t="shared" si="1"/>
        <v>2028950</v>
      </c>
    </row>
    <row r="76" spans="1:7" x14ac:dyDescent="0.25">
      <c r="A76" s="8">
        <v>75</v>
      </c>
      <c r="B76" s="13">
        <v>45743</v>
      </c>
      <c r="C76" s="5" t="s">
        <v>80</v>
      </c>
      <c r="D76" s="5" t="s">
        <v>15</v>
      </c>
      <c r="E76" s="9"/>
      <c r="F76" s="9">
        <v>50000</v>
      </c>
      <c r="G76" s="9">
        <f t="shared" si="1"/>
        <v>1978950</v>
      </c>
    </row>
    <row r="77" spans="1:7" ht="15.75" thickBot="1" x14ac:dyDescent="0.3">
      <c r="A77" s="10">
        <v>76</v>
      </c>
      <c r="B77" s="13">
        <v>45744</v>
      </c>
      <c r="C77" s="5" t="s">
        <v>81</v>
      </c>
      <c r="D77" s="5" t="s">
        <v>17</v>
      </c>
      <c r="E77" s="9">
        <v>500000</v>
      </c>
      <c r="F77" s="9"/>
      <c r="G77" s="9">
        <f t="shared" si="1"/>
        <v>2478950</v>
      </c>
    </row>
    <row r="78" spans="1:7" x14ac:dyDescent="0.25">
      <c r="A78" s="2">
        <v>77</v>
      </c>
      <c r="B78" s="13">
        <v>45760</v>
      </c>
      <c r="C78" s="5" t="s">
        <v>69</v>
      </c>
      <c r="D78" s="5" t="s">
        <v>17</v>
      </c>
      <c r="E78" s="9">
        <v>300000</v>
      </c>
      <c r="F78" s="9"/>
      <c r="G78" s="9">
        <f t="shared" si="1"/>
        <v>2778950</v>
      </c>
    </row>
    <row r="79" spans="1:7" x14ac:dyDescent="0.25">
      <c r="A79" s="8">
        <v>78</v>
      </c>
      <c r="B79" s="13">
        <v>45760</v>
      </c>
      <c r="C79" s="5" t="s">
        <v>82</v>
      </c>
      <c r="D79" s="5" t="s">
        <v>17</v>
      </c>
      <c r="E79" s="12">
        <v>500000</v>
      </c>
      <c r="F79" s="12"/>
      <c r="G79" s="12">
        <f t="shared" si="1"/>
        <v>3278950</v>
      </c>
    </row>
    <row r="80" spans="1:7" x14ac:dyDescent="0.25">
      <c r="A80" s="8">
        <v>79</v>
      </c>
      <c r="B80" s="13">
        <v>45760</v>
      </c>
      <c r="C80" s="5" t="s">
        <v>83</v>
      </c>
      <c r="D80" s="5" t="s">
        <v>17</v>
      </c>
      <c r="E80" s="12">
        <v>500000</v>
      </c>
      <c r="F80" s="12"/>
      <c r="G80" s="12">
        <f t="shared" si="1"/>
        <v>3778950</v>
      </c>
    </row>
    <row r="81" spans="1:7" ht="15.75" thickBot="1" x14ac:dyDescent="0.3">
      <c r="A81" s="10">
        <v>80</v>
      </c>
      <c r="B81" s="13">
        <v>45779</v>
      </c>
      <c r="C81" s="5" t="s">
        <v>84</v>
      </c>
      <c r="D81" s="5" t="s">
        <v>17</v>
      </c>
      <c r="E81" s="12">
        <v>500000</v>
      </c>
      <c r="F81" s="12"/>
      <c r="G81" s="12">
        <f t="shared" si="1"/>
        <v>4278950</v>
      </c>
    </row>
    <row r="82" spans="1:7" x14ac:dyDescent="0.25">
      <c r="A82" s="2">
        <v>81</v>
      </c>
      <c r="B82" s="13">
        <v>45779</v>
      </c>
      <c r="C82" s="5" t="s">
        <v>84</v>
      </c>
      <c r="D82" s="5" t="s">
        <v>17</v>
      </c>
      <c r="E82" s="12">
        <v>300000</v>
      </c>
      <c r="F82" s="12"/>
      <c r="G82" s="12">
        <f t="shared" si="1"/>
        <v>4578950</v>
      </c>
    </row>
    <row r="83" spans="1:7" x14ac:dyDescent="0.25">
      <c r="A83" s="8">
        <v>82</v>
      </c>
      <c r="B83" s="13">
        <v>45779</v>
      </c>
      <c r="C83" s="5" t="s">
        <v>85</v>
      </c>
      <c r="D83" s="5" t="s">
        <v>17</v>
      </c>
      <c r="E83" s="12">
        <v>100000</v>
      </c>
      <c r="F83" s="12"/>
      <c r="G83" s="12">
        <f t="shared" si="1"/>
        <v>4678950</v>
      </c>
    </row>
    <row r="84" spans="1:7" x14ac:dyDescent="0.25">
      <c r="A84" s="8">
        <v>83</v>
      </c>
      <c r="B84" s="13">
        <v>45779</v>
      </c>
      <c r="C84" s="5" t="s">
        <v>85</v>
      </c>
      <c r="D84" s="5" t="s">
        <v>17</v>
      </c>
      <c r="E84" s="12">
        <v>100000</v>
      </c>
      <c r="F84" s="12"/>
      <c r="G84" s="12">
        <f t="shared" si="1"/>
        <v>4778950</v>
      </c>
    </row>
    <row r="85" spans="1:7" ht="15.75" thickBot="1" x14ac:dyDescent="0.3">
      <c r="A85" s="10">
        <v>84</v>
      </c>
      <c r="B85" s="13">
        <v>45779</v>
      </c>
      <c r="C85" s="5" t="s">
        <v>69</v>
      </c>
      <c r="D85" s="5" t="s">
        <v>17</v>
      </c>
      <c r="E85" s="12">
        <v>300000</v>
      </c>
      <c r="F85" s="12"/>
      <c r="G85" s="12">
        <f t="shared" si="1"/>
        <v>5078950</v>
      </c>
    </row>
    <row r="86" spans="1:7" x14ac:dyDescent="0.25">
      <c r="A86" s="2">
        <v>85</v>
      </c>
      <c r="B86" s="13">
        <v>45795</v>
      </c>
      <c r="C86" s="5" t="s">
        <v>86</v>
      </c>
      <c r="D86" s="5" t="s">
        <v>24</v>
      </c>
      <c r="E86" s="12">
        <v>2120000</v>
      </c>
      <c r="F86" s="12"/>
      <c r="G86" s="12">
        <f t="shared" si="1"/>
        <v>7198950</v>
      </c>
    </row>
    <row r="87" spans="1:7" x14ac:dyDescent="0.25">
      <c r="A87" s="8">
        <v>86</v>
      </c>
      <c r="B87" s="13">
        <v>45795</v>
      </c>
      <c r="C87" s="5" t="s">
        <v>85</v>
      </c>
      <c r="D87" s="5" t="s">
        <v>17</v>
      </c>
      <c r="E87" s="12">
        <v>100000</v>
      </c>
      <c r="F87" s="12"/>
      <c r="G87" s="12">
        <f t="shared" si="1"/>
        <v>7298950</v>
      </c>
    </row>
    <row r="88" spans="1:7" x14ac:dyDescent="0.25">
      <c r="A88" s="8">
        <v>87</v>
      </c>
      <c r="B88" s="13">
        <v>45795</v>
      </c>
      <c r="C88" s="5" t="s">
        <v>85</v>
      </c>
      <c r="D88" s="5" t="s">
        <v>17</v>
      </c>
      <c r="E88" s="12">
        <v>100000</v>
      </c>
      <c r="F88" s="12"/>
      <c r="G88" s="12">
        <f t="shared" si="1"/>
        <v>7398950</v>
      </c>
    </row>
    <row r="89" spans="1:7" ht="15.75" thickBot="1" x14ac:dyDescent="0.3">
      <c r="A89" s="10">
        <v>88</v>
      </c>
      <c r="B89" s="13">
        <v>45795</v>
      </c>
      <c r="C89" s="5" t="s">
        <v>85</v>
      </c>
      <c r="D89" s="5" t="s">
        <v>17</v>
      </c>
      <c r="E89" s="12">
        <v>100000</v>
      </c>
      <c r="F89" s="12"/>
      <c r="G89" s="12">
        <f t="shared" si="1"/>
        <v>7498950</v>
      </c>
    </row>
    <row r="90" spans="1:7" x14ac:dyDescent="0.25">
      <c r="A90" s="2">
        <v>89</v>
      </c>
      <c r="B90" s="13">
        <v>45795</v>
      </c>
      <c r="C90" s="5" t="s">
        <v>87</v>
      </c>
      <c r="D90" s="5" t="s">
        <v>17</v>
      </c>
      <c r="E90" s="12">
        <v>50000</v>
      </c>
      <c r="F90" s="12"/>
      <c r="G90" s="12">
        <f t="shared" si="1"/>
        <v>7548950</v>
      </c>
    </row>
    <row r="91" spans="1:7" x14ac:dyDescent="0.25">
      <c r="A91" s="8">
        <v>90</v>
      </c>
      <c r="B91" s="13">
        <v>45795</v>
      </c>
      <c r="C91" s="5" t="s">
        <v>84</v>
      </c>
      <c r="D91" s="5" t="s">
        <v>17</v>
      </c>
      <c r="E91" s="12">
        <v>150000</v>
      </c>
      <c r="F91" s="12"/>
      <c r="G91" s="12">
        <f t="shared" si="1"/>
        <v>7698950</v>
      </c>
    </row>
    <row r="92" spans="1:7" x14ac:dyDescent="0.25">
      <c r="A92" s="8">
        <v>91</v>
      </c>
      <c r="B92" s="13">
        <v>45795</v>
      </c>
      <c r="C92" s="5" t="s">
        <v>88</v>
      </c>
      <c r="D92" s="5" t="s">
        <v>17</v>
      </c>
      <c r="E92" s="12">
        <v>500000</v>
      </c>
      <c r="F92" s="12"/>
      <c r="G92" s="12">
        <f t="shared" si="1"/>
        <v>8198950</v>
      </c>
    </row>
    <row r="93" spans="1:7" ht="15.75" thickBot="1" x14ac:dyDescent="0.3">
      <c r="A93" s="10">
        <v>92</v>
      </c>
      <c r="B93" s="13">
        <v>45795</v>
      </c>
      <c r="C93" s="5" t="s">
        <v>89</v>
      </c>
      <c r="D93" s="5" t="s">
        <v>17</v>
      </c>
      <c r="E93" s="12">
        <v>100000</v>
      </c>
      <c r="F93" s="12"/>
      <c r="G93" s="12">
        <f t="shared" si="1"/>
        <v>8298950</v>
      </c>
    </row>
    <row r="94" spans="1:7" x14ac:dyDescent="0.25">
      <c r="A94" s="2">
        <v>93</v>
      </c>
      <c r="B94" s="13">
        <v>45836</v>
      </c>
      <c r="C94" s="5" t="s">
        <v>90</v>
      </c>
      <c r="D94" s="5" t="s">
        <v>24</v>
      </c>
      <c r="E94" s="9">
        <v>1000000</v>
      </c>
      <c r="F94" s="12"/>
      <c r="G94" s="9">
        <f t="shared" si="1"/>
        <v>9298950</v>
      </c>
    </row>
    <row r="95" spans="1:7" x14ac:dyDescent="0.25">
      <c r="A95" s="8">
        <v>94</v>
      </c>
      <c r="B95" s="13">
        <v>45836</v>
      </c>
      <c r="C95" s="5" t="s">
        <v>85</v>
      </c>
      <c r="D95" s="5" t="s">
        <v>17</v>
      </c>
      <c r="E95" s="9">
        <v>150000</v>
      </c>
      <c r="F95" s="12"/>
      <c r="G95" s="9">
        <f t="shared" si="1"/>
        <v>9448950</v>
      </c>
    </row>
    <row r="96" spans="1:7" x14ac:dyDescent="0.25">
      <c r="A96" s="8">
        <v>95</v>
      </c>
      <c r="B96" s="13">
        <v>45836</v>
      </c>
      <c r="C96" s="5" t="s">
        <v>85</v>
      </c>
      <c r="D96" s="5" t="s">
        <v>17</v>
      </c>
      <c r="E96" s="6">
        <v>150000</v>
      </c>
      <c r="F96" s="23"/>
      <c r="G96" s="9">
        <f t="shared" si="1"/>
        <v>9598950</v>
      </c>
    </row>
    <row r="97" spans="1:7" ht="15.75" thickBot="1" x14ac:dyDescent="0.3">
      <c r="A97" s="10">
        <v>96</v>
      </c>
      <c r="B97" s="13">
        <v>45836</v>
      </c>
      <c r="C97" s="5" t="s">
        <v>85</v>
      </c>
      <c r="D97" s="5" t="s">
        <v>17</v>
      </c>
      <c r="E97" s="6">
        <v>150000</v>
      </c>
      <c r="F97" s="23"/>
      <c r="G97" s="9">
        <f t="shared" si="1"/>
        <v>9748950</v>
      </c>
    </row>
    <row r="98" spans="1:7" x14ac:dyDescent="0.25">
      <c r="A98" s="2">
        <v>97</v>
      </c>
      <c r="B98" s="13">
        <v>45836</v>
      </c>
      <c r="C98" s="5" t="s">
        <v>84</v>
      </c>
      <c r="D98" s="5" t="s">
        <v>17</v>
      </c>
      <c r="E98" s="6">
        <v>150000</v>
      </c>
      <c r="F98" s="23"/>
      <c r="G98" s="9">
        <f t="shared" si="1"/>
        <v>9898950</v>
      </c>
    </row>
    <row r="99" spans="1:7" x14ac:dyDescent="0.25">
      <c r="A99" s="8">
        <v>98</v>
      </c>
      <c r="B99" s="13">
        <v>45836</v>
      </c>
      <c r="C99" s="4" t="s">
        <v>91</v>
      </c>
      <c r="D99" s="5" t="s">
        <v>17</v>
      </c>
      <c r="E99" s="6">
        <v>300000</v>
      </c>
      <c r="F99" s="23"/>
      <c r="G99" s="9">
        <f t="shared" si="1"/>
        <v>10198950</v>
      </c>
    </row>
    <row r="100" spans="1:7" x14ac:dyDescent="0.25">
      <c r="A100" s="8">
        <v>99</v>
      </c>
      <c r="B100" s="3">
        <v>45878</v>
      </c>
      <c r="C100" s="5" t="s">
        <v>85</v>
      </c>
      <c r="D100" s="5" t="s">
        <v>17</v>
      </c>
      <c r="E100" s="6">
        <v>150000</v>
      </c>
      <c r="F100" s="23"/>
      <c r="G100" s="9">
        <f t="shared" si="1"/>
        <v>10348950</v>
      </c>
    </row>
    <row r="101" spans="1:7" ht="15.75" thickBot="1" x14ac:dyDescent="0.3">
      <c r="A101" s="10">
        <v>100</v>
      </c>
      <c r="B101" s="3">
        <v>45878</v>
      </c>
      <c r="C101" s="5" t="s">
        <v>85</v>
      </c>
      <c r="D101" s="5" t="s">
        <v>17</v>
      </c>
      <c r="E101" s="6">
        <v>200000</v>
      </c>
      <c r="F101" s="23"/>
      <c r="G101" s="9">
        <f t="shared" si="1"/>
        <v>10548950</v>
      </c>
    </row>
    <row r="102" spans="1:7" x14ac:dyDescent="0.25">
      <c r="A102" s="2">
        <v>101</v>
      </c>
      <c r="B102" s="3">
        <v>45878</v>
      </c>
      <c r="C102" s="4" t="s">
        <v>92</v>
      </c>
      <c r="D102" s="5" t="s">
        <v>17</v>
      </c>
      <c r="E102" s="6">
        <v>100000</v>
      </c>
      <c r="F102" s="23"/>
      <c r="G102" s="9">
        <f t="shared" si="1"/>
        <v>10648950</v>
      </c>
    </row>
    <row r="103" spans="1:7" x14ac:dyDescent="0.25">
      <c r="A103" s="8">
        <v>102</v>
      </c>
      <c r="B103" s="3">
        <v>45878</v>
      </c>
      <c r="C103" s="4" t="s">
        <v>69</v>
      </c>
      <c r="D103" s="5" t="s">
        <v>17</v>
      </c>
      <c r="E103" s="6">
        <v>300000</v>
      </c>
      <c r="F103" s="23"/>
      <c r="G103" s="9">
        <f t="shared" si="1"/>
        <v>10948950</v>
      </c>
    </row>
    <row r="104" spans="1:7" x14ac:dyDescent="0.25">
      <c r="A104" s="8">
        <v>103</v>
      </c>
      <c r="B104" s="3">
        <v>45878</v>
      </c>
      <c r="C104" s="5" t="s">
        <v>93</v>
      </c>
      <c r="D104" s="5" t="s">
        <v>17</v>
      </c>
      <c r="E104" s="6">
        <v>1000000</v>
      </c>
      <c r="F104" s="23"/>
      <c r="G104" s="9">
        <f t="shared" si="1"/>
        <v>11948950</v>
      </c>
    </row>
    <row r="105" spans="1:7" ht="15.75" thickBot="1" x14ac:dyDescent="0.3">
      <c r="A105" s="10">
        <v>104</v>
      </c>
      <c r="B105" s="3">
        <v>45878</v>
      </c>
      <c r="C105" s="5" t="s">
        <v>94</v>
      </c>
      <c r="D105" s="5" t="s">
        <v>24</v>
      </c>
      <c r="E105" s="6">
        <v>2370000</v>
      </c>
      <c r="F105" s="23"/>
      <c r="G105" s="9">
        <f t="shared" si="1"/>
        <v>14318950</v>
      </c>
    </row>
    <row r="106" spans="1:7" x14ac:dyDescent="0.25">
      <c r="A106" s="2">
        <v>105</v>
      </c>
      <c r="B106" s="3">
        <v>45897</v>
      </c>
      <c r="C106" s="4" t="s">
        <v>69</v>
      </c>
      <c r="D106" s="5" t="s">
        <v>17</v>
      </c>
      <c r="E106" s="6">
        <v>300000</v>
      </c>
      <c r="F106" s="23"/>
      <c r="G106" s="9">
        <f t="shared" si="1"/>
        <v>14618950</v>
      </c>
    </row>
    <row r="107" spans="1:7" x14ac:dyDescent="0.25">
      <c r="A107" s="8">
        <v>106</v>
      </c>
      <c r="B107" s="3">
        <v>45897</v>
      </c>
      <c r="C107" s="4" t="s">
        <v>95</v>
      </c>
      <c r="D107" s="5" t="s">
        <v>17</v>
      </c>
      <c r="E107" s="6">
        <v>1000000</v>
      </c>
      <c r="F107" s="23"/>
      <c r="G107" s="9">
        <f t="shared" si="1"/>
        <v>15618950</v>
      </c>
    </row>
    <row r="108" spans="1:7" x14ac:dyDescent="0.25">
      <c r="A108" s="8">
        <v>107</v>
      </c>
      <c r="B108" s="3">
        <v>45897</v>
      </c>
      <c r="C108" s="4" t="s">
        <v>96</v>
      </c>
      <c r="D108" s="5" t="s">
        <v>10</v>
      </c>
      <c r="E108" s="6"/>
      <c r="F108" s="23">
        <v>320000</v>
      </c>
      <c r="G108" s="9">
        <f t="shared" si="1"/>
        <v>15298950</v>
      </c>
    </row>
    <row r="109" spans="1:7" ht="15.75" thickBot="1" x14ac:dyDescent="0.3">
      <c r="A109" s="10">
        <v>108</v>
      </c>
      <c r="B109" s="3">
        <v>45897</v>
      </c>
      <c r="C109" s="4" t="s">
        <v>97</v>
      </c>
      <c r="D109" s="5" t="s">
        <v>10</v>
      </c>
      <c r="E109" s="6"/>
      <c r="F109" s="23">
        <v>920000</v>
      </c>
      <c r="G109" s="9">
        <f t="shared" si="1"/>
        <v>14378950</v>
      </c>
    </row>
    <row r="110" spans="1:7" x14ac:dyDescent="0.25">
      <c r="A110" s="2">
        <v>109</v>
      </c>
      <c r="B110" s="3">
        <v>45897</v>
      </c>
      <c r="C110" s="4" t="s">
        <v>98</v>
      </c>
      <c r="D110" s="5" t="s">
        <v>10</v>
      </c>
      <c r="E110" s="6"/>
      <c r="F110" s="23">
        <v>45000</v>
      </c>
      <c r="G110" s="9">
        <f t="shared" si="1"/>
        <v>14333950</v>
      </c>
    </row>
    <row r="111" spans="1:7" x14ac:dyDescent="0.25">
      <c r="A111" s="8">
        <v>110</v>
      </c>
      <c r="B111" s="3">
        <v>45897</v>
      </c>
      <c r="C111" s="4" t="s">
        <v>99</v>
      </c>
      <c r="D111" s="5" t="s">
        <v>10</v>
      </c>
      <c r="E111" s="6"/>
      <c r="F111" s="23">
        <v>1025000</v>
      </c>
      <c r="G111" s="9">
        <f t="shared" si="1"/>
        <v>13308950</v>
      </c>
    </row>
    <row r="112" spans="1:7" x14ac:dyDescent="0.25">
      <c r="A112" s="8">
        <v>111</v>
      </c>
      <c r="B112" s="3">
        <v>45899</v>
      </c>
      <c r="C112" s="4" t="s">
        <v>65</v>
      </c>
      <c r="D112" s="5" t="s">
        <v>15</v>
      </c>
      <c r="E112" s="6"/>
      <c r="F112" s="24">
        <v>2360000</v>
      </c>
      <c r="G112" s="25">
        <f t="shared" si="1"/>
        <v>10948950</v>
      </c>
    </row>
    <row r="113" spans="1:7" ht="15.75" thickBot="1" x14ac:dyDescent="0.3">
      <c r="A113" s="10">
        <v>112</v>
      </c>
      <c r="B113" s="3">
        <v>45899</v>
      </c>
      <c r="C113" s="4" t="s">
        <v>100</v>
      </c>
      <c r="D113" s="5" t="s">
        <v>10</v>
      </c>
      <c r="E113" s="6"/>
      <c r="F113" s="23">
        <v>150000</v>
      </c>
      <c r="G113" s="9">
        <f t="shared" si="1"/>
        <v>10798950</v>
      </c>
    </row>
    <row r="114" spans="1:7" x14ac:dyDescent="0.25">
      <c r="A114" s="2">
        <v>113</v>
      </c>
      <c r="B114" s="3">
        <v>45902</v>
      </c>
      <c r="C114" s="5" t="s">
        <v>101</v>
      </c>
      <c r="D114" s="5" t="s">
        <v>10</v>
      </c>
      <c r="E114" s="6"/>
      <c r="F114" s="23">
        <v>52000</v>
      </c>
      <c r="G114" s="9">
        <f t="shared" si="1"/>
        <v>10746950</v>
      </c>
    </row>
    <row r="115" spans="1:7" x14ac:dyDescent="0.25">
      <c r="A115" s="8">
        <v>114</v>
      </c>
      <c r="B115" s="3">
        <v>45902</v>
      </c>
      <c r="C115" s="5" t="s">
        <v>102</v>
      </c>
      <c r="D115" s="5" t="s">
        <v>10</v>
      </c>
      <c r="E115" s="6"/>
      <c r="F115" s="23">
        <v>1947500</v>
      </c>
      <c r="G115" s="9">
        <f t="shared" si="1"/>
        <v>8799450</v>
      </c>
    </row>
    <row r="116" spans="1:7" x14ac:dyDescent="0.25">
      <c r="A116" s="8">
        <v>115</v>
      </c>
      <c r="B116" s="3">
        <v>45904</v>
      </c>
      <c r="C116" s="5" t="s">
        <v>65</v>
      </c>
      <c r="D116" s="5" t="s">
        <v>15</v>
      </c>
      <c r="E116" s="6"/>
      <c r="F116" s="23">
        <v>1530000</v>
      </c>
      <c r="G116" s="9">
        <f t="shared" si="1"/>
        <v>7269450</v>
      </c>
    </row>
    <row r="117" spans="1:7" ht="15.75" thickBot="1" x14ac:dyDescent="0.3">
      <c r="A117" s="10">
        <v>116</v>
      </c>
      <c r="B117" s="3">
        <v>45910</v>
      </c>
      <c r="C117" s="4" t="s">
        <v>103</v>
      </c>
      <c r="D117" s="5" t="s">
        <v>10</v>
      </c>
      <c r="E117" s="6"/>
      <c r="F117" s="23">
        <v>15000</v>
      </c>
      <c r="G117" s="9">
        <f t="shared" si="1"/>
        <v>7254450</v>
      </c>
    </row>
    <row r="118" spans="1:7" x14ac:dyDescent="0.25">
      <c r="A118" s="2">
        <v>117</v>
      </c>
      <c r="B118" s="3">
        <v>45910</v>
      </c>
      <c r="C118" s="4" t="s">
        <v>104</v>
      </c>
      <c r="D118" s="5" t="s">
        <v>10</v>
      </c>
      <c r="E118" s="6"/>
      <c r="F118" s="23">
        <v>4281600</v>
      </c>
      <c r="G118" s="9">
        <f t="shared" si="1"/>
        <v>2972850</v>
      </c>
    </row>
    <row r="119" spans="1:7" x14ac:dyDescent="0.25">
      <c r="A119" s="8">
        <v>118</v>
      </c>
      <c r="B119" s="3">
        <v>45912</v>
      </c>
      <c r="C119" s="5" t="s">
        <v>100</v>
      </c>
      <c r="D119" s="5" t="s">
        <v>10</v>
      </c>
      <c r="E119" s="6"/>
      <c r="F119" s="23">
        <v>125000</v>
      </c>
      <c r="G119" s="9">
        <f t="shared" si="1"/>
        <v>2847850</v>
      </c>
    </row>
    <row r="120" spans="1:7" x14ac:dyDescent="0.25">
      <c r="A120" s="8">
        <v>119</v>
      </c>
      <c r="B120" s="3">
        <v>45912</v>
      </c>
      <c r="C120" s="5" t="s">
        <v>105</v>
      </c>
      <c r="D120" s="5" t="s">
        <v>24</v>
      </c>
      <c r="E120" s="6">
        <v>2270000</v>
      </c>
      <c r="F120" s="23"/>
      <c r="G120" s="9">
        <f t="shared" si="1"/>
        <v>5117850</v>
      </c>
    </row>
    <row r="121" spans="1:7" ht="15.75" thickBot="1" x14ac:dyDescent="0.3">
      <c r="A121" s="10">
        <v>120</v>
      </c>
      <c r="B121" s="3">
        <v>45913</v>
      </c>
      <c r="C121" s="4" t="s">
        <v>65</v>
      </c>
      <c r="D121" s="5" t="s">
        <v>15</v>
      </c>
      <c r="E121" s="6"/>
      <c r="F121" s="23">
        <v>1710000</v>
      </c>
      <c r="G121" s="9">
        <f t="shared" si="1"/>
        <v>3407850</v>
      </c>
    </row>
    <row r="122" spans="1:7" x14ac:dyDescent="0.25">
      <c r="A122" s="2">
        <v>121</v>
      </c>
      <c r="B122" s="3">
        <v>45915</v>
      </c>
      <c r="C122" s="4" t="s">
        <v>106</v>
      </c>
      <c r="D122" s="5" t="s">
        <v>10</v>
      </c>
      <c r="E122" s="6"/>
      <c r="F122" s="23">
        <v>1261000</v>
      </c>
      <c r="G122" s="9">
        <f t="shared" si="1"/>
        <v>2146850</v>
      </c>
    </row>
    <row r="123" spans="1:7" x14ac:dyDescent="0.25">
      <c r="A123" s="8">
        <v>122</v>
      </c>
      <c r="B123" s="3">
        <v>45915</v>
      </c>
      <c r="C123" s="4" t="s">
        <v>107</v>
      </c>
      <c r="D123" s="5" t="s">
        <v>10</v>
      </c>
      <c r="E123" s="6"/>
      <c r="F123" s="23">
        <v>120000</v>
      </c>
      <c r="G123" s="9">
        <f t="shared" si="1"/>
        <v>2026850</v>
      </c>
    </row>
    <row r="124" spans="1:7" x14ac:dyDescent="0.25">
      <c r="A124" s="8">
        <v>123</v>
      </c>
      <c r="B124" s="3">
        <v>45918</v>
      </c>
      <c r="C124" s="4" t="s">
        <v>108</v>
      </c>
      <c r="D124" s="5" t="s">
        <v>10</v>
      </c>
      <c r="E124" s="6"/>
      <c r="F124" s="23">
        <v>985900</v>
      </c>
      <c r="G124" s="9">
        <f t="shared" si="1"/>
        <v>1040950</v>
      </c>
    </row>
    <row r="125" spans="1:7" ht="15.75" thickBot="1" x14ac:dyDescent="0.3">
      <c r="A125" s="10">
        <v>124</v>
      </c>
      <c r="B125" s="3">
        <v>45918</v>
      </c>
      <c r="C125" s="4" t="s">
        <v>109</v>
      </c>
      <c r="D125" s="5" t="s">
        <v>10</v>
      </c>
      <c r="E125" s="6"/>
      <c r="F125" s="23">
        <v>3924800</v>
      </c>
      <c r="G125" s="9">
        <f t="shared" si="1"/>
        <v>-2883850</v>
      </c>
    </row>
    <row r="126" spans="1:7" x14ac:dyDescent="0.25">
      <c r="A126" s="2">
        <v>125</v>
      </c>
      <c r="B126" s="3">
        <v>45919</v>
      </c>
      <c r="C126" s="4" t="s">
        <v>93</v>
      </c>
      <c r="D126" s="5" t="s">
        <v>17</v>
      </c>
      <c r="E126" s="6">
        <v>100000</v>
      </c>
      <c r="F126" s="23"/>
      <c r="G126" s="9">
        <f t="shared" si="1"/>
        <v>-2783850</v>
      </c>
    </row>
    <row r="127" spans="1:7" x14ac:dyDescent="0.25">
      <c r="A127" s="8">
        <v>126</v>
      </c>
      <c r="B127" s="3">
        <v>45920</v>
      </c>
      <c r="C127" s="5" t="s">
        <v>110</v>
      </c>
      <c r="D127" s="5" t="s">
        <v>10</v>
      </c>
      <c r="E127" s="6"/>
      <c r="F127" s="23">
        <v>184000</v>
      </c>
      <c r="G127" s="9">
        <f t="shared" si="1"/>
        <v>-2967850</v>
      </c>
    </row>
    <row r="128" spans="1:7" x14ac:dyDescent="0.25">
      <c r="A128" s="8">
        <v>127</v>
      </c>
      <c r="B128" s="3">
        <v>45920</v>
      </c>
      <c r="C128" s="5" t="s">
        <v>65</v>
      </c>
      <c r="D128" s="5" t="s">
        <v>15</v>
      </c>
      <c r="E128" s="6"/>
      <c r="F128" s="23">
        <v>1425000</v>
      </c>
      <c r="G128" s="9">
        <f t="shared" si="1"/>
        <v>-4392850</v>
      </c>
    </row>
    <row r="129" spans="1:7" ht="15.75" thickBot="1" x14ac:dyDescent="0.3">
      <c r="A129" s="10">
        <v>128</v>
      </c>
      <c r="B129" s="3">
        <v>45924</v>
      </c>
      <c r="C129" s="4" t="s">
        <v>111</v>
      </c>
      <c r="D129" s="5" t="s">
        <v>10</v>
      </c>
      <c r="E129" s="6"/>
      <c r="F129" s="23">
        <v>210000</v>
      </c>
      <c r="G129" s="9">
        <f t="shared" si="1"/>
        <v>-4602850</v>
      </c>
    </row>
    <row r="130" spans="1:7" x14ac:dyDescent="0.25">
      <c r="A130" s="2">
        <v>129</v>
      </c>
      <c r="B130" s="3">
        <v>45924</v>
      </c>
      <c r="C130" s="4" t="s">
        <v>99</v>
      </c>
      <c r="D130" s="5" t="s">
        <v>10</v>
      </c>
      <c r="E130" s="6"/>
      <c r="F130" s="23">
        <v>1261000</v>
      </c>
      <c r="G130" s="9">
        <f t="shared" si="1"/>
        <v>-5863850</v>
      </c>
    </row>
    <row r="131" spans="1:7" x14ac:dyDescent="0.25">
      <c r="A131" s="8">
        <v>130</v>
      </c>
      <c r="B131" s="3">
        <v>45927</v>
      </c>
      <c r="C131" s="4" t="s">
        <v>112</v>
      </c>
      <c r="D131" s="5" t="s">
        <v>10</v>
      </c>
      <c r="E131" s="6"/>
      <c r="F131" s="23">
        <v>15500</v>
      </c>
      <c r="G131" s="9">
        <f t="shared" si="1"/>
        <v>-5879350</v>
      </c>
    </row>
    <row r="132" spans="1:7" x14ac:dyDescent="0.25">
      <c r="A132" s="8">
        <v>131</v>
      </c>
      <c r="B132" s="3">
        <v>45927</v>
      </c>
      <c r="C132" s="4" t="s">
        <v>65</v>
      </c>
      <c r="D132" s="5" t="s">
        <v>13</v>
      </c>
      <c r="E132" s="6"/>
      <c r="F132" s="23">
        <v>1425000</v>
      </c>
      <c r="G132" s="9">
        <f t="shared" ref="G132:G195" si="2">G131+E132-F132</f>
        <v>-7304350</v>
      </c>
    </row>
    <row r="133" spans="1:7" ht="15.75" thickBot="1" x14ac:dyDescent="0.3">
      <c r="A133" s="10">
        <v>132</v>
      </c>
      <c r="B133" s="3">
        <v>45927</v>
      </c>
      <c r="C133" s="4" t="s">
        <v>113</v>
      </c>
      <c r="D133" s="5" t="s">
        <v>17</v>
      </c>
      <c r="E133" s="6">
        <v>10000000</v>
      </c>
      <c r="F133" s="23"/>
      <c r="G133" s="9">
        <f t="shared" si="2"/>
        <v>2695650</v>
      </c>
    </row>
    <row r="134" spans="1:7" x14ac:dyDescent="0.25">
      <c r="A134" s="2">
        <v>133</v>
      </c>
      <c r="B134" s="3">
        <v>45954</v>
      </c>
      <c r="C134" s="4" t="s">
        <v>114</v>
      </c>
      <c r="D134" s="5" t="s">
        <v>17</v>
      </c>
      <c r="E134" s="6">
        <v>500000</v>
      </c>
      <c r="F134" s="23"/>
      <c r="G134" s="9">
        <f t="shared" si="2"/>
        <v>3195650</v>
      </c>
    </row>
    <row r="135" spans="1:7" x14ac:dyDescent="0.25">
      <c r="A135" s="8">
        <v>134</v>
      </c>
      <c r="B135" s="3">
        <v>45955</v>
      </c>
      <c r="C135" s="5" t="s">
        <v>115</v>
      </c>
      <c r="D135" s="5" t="s">
        <v>24</v>
      </c>
      <c r="E135" s="6">
        <v>1610000</v>
      </c>
      <c r="F135" s="23"/>
      <c r="G135" s="9">
        <f t="shared" si="2"/>
        <v>4805650</v>
      </c>
    </row>
    <row r="136" spans="1:7" x14ac:dyDescent="0.25">
      <c r="A136" s="8">
        <v>135</v>
      </c>
      <c r="B136" s="3">
        <v>45955</v>
      </c>
      <c r="C136" s="5" t="s">
        <v>69</v>
      </c>
      <c r="D136" s="5" t="s">
        <v>17</v>
      </c>
      <c r="E136" s="6">
        <v>350000</v>
      </c>
      <c r="F136" s="23"/>
      <c r="G136" s="9">
        <f t="shared" si="2"/>
        <v>5155650</v>
      </c>
    </row>
    <row r="137" spans="1:7" ht="15.75" thickBot="1" x14ac:dyDescent="0.3">
      <c r="A137" s="10">
        <v>136</v>
      </c>
      <c r="B137" s="3">
        <v>45980</v>
      </c>
      <c r="C137" s="5" t="s">
        <v>116</v>
      </c>
      <c r="D137" s="5" t="s">
        <v>10</v>
      </c>
      <c r="E137" s="6"/>
      <c r="F137" s="23">
        <v>582000</v>
      </c>
      <c r="G137" s="9">
        <f t="shared" si="2"/>
        <v>4573650</v>
      </c>
    </row>
    <row r="138" spans="1:7" x14ac:dyDescent="0.25">
      <c r="A138" s="2">
        <v>137</v>
      </c>
      <c r="B138" s="3"/>
      <c r="C138" s="5" t="s">
        <v>117</v>
      </c>
      <c r="D138" s="5"/>
      <c r="E138" s="6"/>
      <c r="F138" s="23"/>
      <c r="G138" s="9">
        <f t="shared" si="2"/>
        <v>4573650</v>
      </c>
    </row>
    <row r="139" spans="1:7" x14ac:dyDescent="0.25">
      <c r="A139" s="8">
        <v>138</v>
      </c>
      <c r="B139" s="3"/>
      <c r="C139" s="4" t="s">
        <v>117</v>
      </c>
      <c r="D139" s="5"/>
      <c r="E139" s="6"/>
      <c r="F139" s="23"/>
      <c r="G139" s="9">
        <f t="shared" si="2"/>
        <v>4573650</v>
      </c>
    </row>
    <row r="140" spans="1:7" x14ac:dyDescent="0.25">
      <c r="A140" s="8">
        <v>139</v>
      </c>
      <c r="B140" s="3"/>
      <c r="C140" s="5" t="s">
        <v>117</v>
      </c>
      <c r="D140" s="5"/>
      <c r="E140" s="6"/>
      <c r="F140" s="23"/>
      <c r="G140" s="9">
        <f t="shared" si="2"/>
        <v>4573650</v>
      </c>
    </row>
    <row r="141" spans="1:7" ht="15.75" thickBot="1" x14ac:dyDescent="0.3">
      <c r="A141" s="10">
        <v>140</v>
      </c>
      <c r="B141" s="3"/>
      <c r="C141" s="4" t="s">
        <v>117</v>
      </c>
      <c r="D141" s="5"/>
      <c r="E141" s="6"/>
      <c r="F141" s="23"/>
      <c r="G141" s="9">
        <f t="shared" si="2"/>
        <v>4573650</v>
      </c>
    </row>
    <row r="142" spans="1:7" x14ac:dyDescent="0.25">
      <c r="A142" s="2">
        <v>141</v>
      </c>
      <c r="B142" s="3"/>
      <c r="C142" s="4" t="s">
        <v>117</v>
      </c>
      <c r="D142" s="5"/>
      <c r="E142" s="6"/>
      <c r="F142" s="23"/>
      <c r="G142" s="9">
        <f t="shared" si="2"/>
        <v>4573650</v>
      </c>
    </row>
    <row r="143" spans="1:7" x14ac:dyDescent="0.25">
      <c r="A143" s="8">
        <v>142</v>
      </c>
      <c r="B143" s="3"/>
      <c r="C143" s="4" t="s">
        <v>117</v>
      </c>
      <c r="D143" s="5"/>
      <c r="E143" s="6"/>
      <c r="F143" s="23"/>
      <c r="G143" s="9">
        <f t="shared" si="2"/>
        <v>4573650</v>
      </c>
    </row>
    <row r="144" spans="1:7" x14ac:dyDescent="0.25">
      <c r="A144" s="8">
        <v>143</v>
      </c>
      <c r="B144" s="3"/>
      <c r="C144" s="4" t="s">
        <v>117</v>
      </c>
      <c r="D144" s="5"/>
      <c r="E144" s="6"/>
      <c r="F144" s="23"/>
      <c r="G144" s="9">
        <f t="shared" si="2"/>
        <v>4573650</v>
      </c>
    </row>
    <row r="145" spans="1:7" ht="15.75" thickBot="1" x14ac:dyDescent="0.3">
      <c r="A145" s="10">
        <v>144</v>
      </c>
      <c r="B145" s="3"/>
      <c r="C145" s="4" t="s">
        <v>117</v>
      </c>
      <c r="D145" s="5"/>
      <c r="E145" s="6"/>
      <c r="F145" s="23"/>
      <c r="G145" s="9">
        <f t="shared" si="2"/>
        <v>4573650</v>
      </c>
    </row>
    <row r="146" spans="1:7" x14ac:dyDescent="0.25">
      <c r="A146" s="2">
        <v>145</v>
      </c>
      <c r="B146" s="3"/>
      <c r="C146" s="4" t="s">
        <v>117</v>
      </c>
      <c r="D146" s="5"/>
      <c r="E146" s="6"/>
      <c r="F146" s="23"/>
      <c r="G146" s="9">
        <f t="shared" si="2"/>
        <v>4573650</v>
      </c>
    </row>
    <row r="147" spans="1:7" x14ac:dyDescent="0.25">
      <c r="A147" s="8">
        <v>146</v>
      </c>
      <c r="B147" s="3"/>
      <c r="C147" s="4" t="s">
        <v>117</v>
      </c>
      <c r="D147" s="5"/>
      <c r="E147" s="6"/>
      <c r="F147" s="23"/>
      <c r="G147" s="9">
        <f t="shared" si="2"/>
        <v>4573650</v>
      </c>
    </row>
    <row r="148" spans="1:7" x14ac:dyDescent="0.25">
      <c r="A148" s="8">
        <v>147</v>
      </c>
      <c r="B148" s="3"/>
      <c r="C148" s="4" t="s">
        <v>117</v>
      </c>
      <c r="D148" s="5"/>
      <c r="E148" s="6"/>
      <c r="F148" s="23"/>
      <c r="G148" s="9">
        <f t="shared" si="2"/>
        <v>4573650</v>
      </c>
    </row>
    <row r="149" spans="1:7" ht="15.75" thickBot="1" x14ac:dyDescent="0.3">
      <c r="A149" s="10">
        <v>148</v>
      </c>
      <c r="B149" s="3"/>
      <c r="C149" s="4" t="s">
        <v>117</v>
      </c>
      <c r="D149" s="5"/>
      <c r="E149" s="6"/>
      <c r="F149" s="23"/>
      <c r="G149" s="9">
        <f t="shared" si="2"/>
        <v>4573650</v>
      </c>
    </row>
    <row r="150" spans="1:7" x14ac:dyDescent="0.25">
      <c r="A150" s="2">
        <v>149</v>
      </c>
      <c r="B150" s="3"/>
      <c r="C150" s="4" t="s">
        <v>117</v>
      </c>
      <c r="D150" s="5"/>
      <c r="E150" s="6"/>
      <c r="F150" s="23"/>
      <c r="G150" s="9">
        <f t="shared" si="2"/>
        <v>4573650</v>
      </c>
    </row>
    <row r="151" spans="1:7" x14ac:dyDescent="0.25">
      <c r="A151" s="8">
        <v>150</v>
      </c>
      <c r="B151" s="3"/>
      <c r="C151" s="4" t="s">
        <v>117</v>
      </c>
      <c r="D151" s="5"/>
      <c r="E151" s="6"/>
      <c r="F151" s="23"/>
      <c r="G151" s="9">
        <f t="shared" si="2"/>
        <v>4573650</v>
      </c>
    </row>
    <row r="152" spans="1:7" x14ac:dyDescent="0.25">
      <c r="A152" s="8">
        <v>151</v>
      </c>
      <c r="B152" s="3"/>
      <c r="C152" s="4" t="s">
        <v>117</v>
      </c>
      <c r="D152" s="5"/>
      <c r="E152" s="6"/>
      <c r="F152" s="23"/>
      <c r="G152" s="9">
        <f t="shared" si="2"/>
        <v>4573650</v>
      </c>
    </row>
    <row r="153" spans="1:7" ht="15.75" thickBot="1" x14ac:dyDescent="0.3">
      <c r="A153" s="10">
        <v>152</v>
      </c>
      <c r="B153" s="3"/>
      <c r="C153" s="4" t="s">
        <v>117</v>
      </c>
      <c r="D153" s="5"/>
      <c r="E153" s="6"/>
      <c r="F153" s="23"/>
      <c r="G153" s="9">
        <f t="shared" si="2"/>
        <v>4573650</v>
      </c>
    </row>
    <row r="154" spans="1:7" x14ac:dyDescent="0.25">
      <c r="A154" s="2">
        <v>153</v>
      </c>
      <c r="B154" s="3"/>
      <c r="C154" s="26" t="s">
        <v>117</v>
      </c>
      <c r="D154" s="5"/>
      <c r="E154" s="6"/>
      <c r="F154" s="23"/>
      <c r="G154" s="9">
        <f t="shared" si="2"/>
        <v>4573650</v>
      </c>
    </row>
    <row r="155" spans="1:7" x14ac:dyDescent="0.25">
      <c r="A155" s="8">
        <v>154</v>
      </c>
      <c r="B155" s="3"/>
      <c r="C155" s="26" t="s">
        <v>117</v>
      </c>
      <c r="D155" s="5"/>
      <c r="E155" s="6"/>
      <c r="F155" s="23"/>
      <c r="G155" s="9">
        <f t="shared" si="2"/>
        <v>4573650</v>
      </c>
    </row>
    <row r="156" spans="1:7" x14ac:dyDescent="0.25">
      <c r="A156" s="8">
        <v>155</v>
      </c>
      <c r="B156" s="3"/>
      <c r="C156" s="4" t="s">
        <v>117</v>
      </c>
      <c r="D156" s="5"/>
      <c r="E156" s="6"/>
      <c r="F156" s="23"/>
      <c r="G156" s="9">
        <f t="shared" si="2"/>
        <v>4573650</v>
      </c>
    </row>
    <row r="157" spans="1:7" ht="15.75" thickBot="1" x14ac:dyDescent="0.3">
      <c r="A157" s="10">
        <v>156</v>
      </c>
      <c r="B157" s="3"/>
      <c r="C157" s="4" t="s">
        <v>117</v>
      </c>
      <c r="D157" s="5"/>
      <c r="E157" s="6"/>
      <c r="F157" s="23"/>
      <c r="G157" s="9">
        <f t="shared" si="2"/>
        <v>4573650</v>
      </c>
    </row>
    <row r="158" spans="1:7" x14ac:dyDescent="0.25">
      <c r="A158" s="2">
        <v>157</v>
      </c>
      <c r="B158" s="3"/>
      <c r="C158" s="4" t="s">
        <v>117</v>
      </c>
      <c r="D158" s="5"/>
      <c r="E158" s="6"/>
      <c r="F158" s="23"/>
      <c r="G158" s="9">
        <f t="shared" si="2"/>
        <v>4573650</v>
      </c>
    </row>
    <row r="159" spans="1:7" x14ac:dyDescent="0.25">
      <c r="A159" s="8">
        <v>158</v>
      </c>
      <c r="B159" s="3"/>
      <c r="C159" s="4" t="s">
        <v>117</v>
      </c>
      <c r="D159" s="5"/>
      <c r="E159" s="6"/>
      <c r="F159" s="23"/>
      <c r="G159" s="9">
        <f t="shared" si="2"/>
        <v>4573650</v>
      </c>
    </row>
    <row r="160" spans="1:7" x14ac:dyDescent="0.25">
      <c r="A160" s="8">
        <v>159</v>
      </c>
      <c r="B160" s="3"/>
      <c r="C160" s="4" t="s">
        <v>117</v>
      </c>
      <c r="D160" s="5"/>
      <c r="E160" s="6"/>
      <c r="F160" s="23"/>
      <c r="G160" s="9">
        <f t="shared" si="2"/>
        <v>4573650</v>
      </c>
    </row>
    <row r="161" spans="1:7" ht="15.75" thickBot="1" x14ac:dyDescent="0.3">
      <c r="A161" s="10">
        <v>160</v>
      </c>
      <c r="B161" s="3"/>
      <c r="C161" s="4" t="s">
        <v>117</v>
      </c>
      <c r="D161" s="5"/>
      <c r="E161" s="6"/>
      <c r="F161" s="23"/>
      <c r="G161" s="9">
        <f t="shared" si="2"/>
        <v>4573650</v>
      </c>
    </row>
    <row r="162" spans="1:7" x14ac:dyDescent="0.25">
      <c r="A162" s="2">
        <v>161</v>
      </c>
      <c r="B162" s="3"/>
      <c r="C162" s="4" t="s">
        <v>117</v>
      </c>
      <c r="D162" s="5"/>
      <c r="E162" s="6"/>
      <c r="F162" s="23"/>
      <c r="G162" s="9">
        <f t="shared" si="2"/>
        <v>4573650</v>
      </c>
    </row>
    <row r="163" spans="1:7" x14ac:dyDescent="0.25">
      <c r="A163" s="8">
        <v>162</v>
      </c>
      <c r="B163" s="3"/>
      <c r="C163" s="4" t="s">
        <v>117</v>
      </c>
      <c r="D163" s="5"/>
      <c r="E163" s="6"/>
      <c r="F163" s="23"/>
      <c r="G163" s="9">
        <f t="shared" si="2"/>
        <v>4573650</v>
      </c>
    </row>
    <row r="164" spans="1:7" x14ac:dyDescent="0.25">
      <c r="A164" s="8">
        <v>163</v>
      </c>
      <c r="B164" s="3"/>
      <c r="C164" s="4" t="s">
        <v>117</v>
      </c>
      <c r="D164" s="5"/>
      <c r="E164" s="6"/>
      <c r="F164" s="23"/>
      <c r="G164" s="9">
        <f t="shared" si="2"/>
        <v>4573650</v>
      </c>
    </row>
    <row r="165" spans="1:7" ht="15.75" thickBot="1" x14ac:dyDescent="0.3">
      <c r="A165" s="10">
        <v>164</v>
      </c>
      <c r="B165" s="3"/>
      <c r="C165" s="4" t="s">
        <v>117</v>
      </c>
      <c r="D165" s="5"/>
      <c r="E165" s="6"/>
      <c r="F165" s="23"/>
      <c r="G165" s="9">
        <f t="shared" si="2"/>
        <v>4573650</v>
      </c>
    </row>
    <row r="166" spans="1:7" x14ac:dyDescent="0.25">
      <c r="A166" s="2">
        <v>165</v>
      </c>
      <c r="B166" s="3"/>
      <c r="C166" s="4" t="s">
        <v>117</v>
      </c>
      <c r="D166" s="5"/>
      <c r="E166" s="6"/>
      <c r="F166" s="23"/>
      <c r="G166" s="9">
        <f t="shared" si="2"/>
        <v>4573650</v>
      </c>
    </row>
    <row r="167" spans="1:7" x14ac:dyDescent="0.25">
      <c r="A167" s="8">
        <v>166</v>
      </c>
      <c r="B167" s="3"/>
      <c r="C167" s="4" t="s">
        <v>117</v>
      </c>
      <c r="D167" s="5"/>
      <c r="E167" s="6"/>
      <c r="F167" s="23"/>
      <c r="G167" s="9">
        <f t="shared" si="2"/>
        <v>4573650</v>
      </c>
    </row>
    <row r="168" spans="1:7" x14ac:dyDescent="0.25">
      <c r="A168" s="8">
        <v>167</v>
      </c>
      <c r="B168" s="3"/>
      <c r="C168" s="4" t="s">
        <v>117</v>
      </c>
      <c r="D168" s="5"/>
      <c r="E168" s="6"/>
      <c r="F168" s="23"/>
      <c r="G168" s="9">
        <f t="shared" si="2"/>
        <v>4573650</v>
      </c>
    </row>
    <row r="169" spans="1:7" ht="15.75" thickBot="1" x14ac:dyDescent="0.3">
      <c r="A169" s="10">
        <v>168</v>
      </c>
      <c r="B169" s="3"/>
      <c r="C169" s="4" t="s">
        <v>117</v>
      </c>
      <c r="D169" s="5"/>
      <c r="E169" s="6"/>
      <c r="F169" s="23"/>
      <c r="G169" s="9">
        <f t="shared" si="2"/>
        <v>4573650</v>
      </c>
    </row>
    <row r="170" spans="1:7" x14ac:dyDescent="0.25">
      <c r="A170" s="2">
        <v>169</v>
      </c>
      <c r="B170" s="3"/>
      <c r="C170" s="4" t="s">
        <v>117</v>
      </c>
      <c r="D170" s="5"/>
      <c r="E170" s="6"/>
      <c r="F170" s="23"/>
      <c r="G170" s="9">
        <f t="shared" si="2"/>
        <v>4573650</v>
      </c>
    </row>
    <row r="171" spans="1:7" x14ac:dyDescent="0.25">
      <c r="A171" s="8">
        <v>170</v>
      </c>
      <c r="B171" s="3"/>
      <c r="C171" s="4" t="s">
        <v>117</v>
      </c>
      <c r="D171" s="5"/>
      <c r="E171" s="6"/>
      <c r="F171" s="23"/>
      <c r="G171" s="9">
        <f t="shared" si="2"/>
        <v>4573650</v>
      </c>
    </row>
    <row r="172" spans="1:7" x14ac:dyDescent="0.25">
      <c r="A172" s="8">
        <v>171</v>
      </c>
      <c r="B172" s="3"/>
      <c r="C172" s="4" t="s">
        <v>117</v>
      </c>
      <c r="D172" s="5"/>
      <c r="E172" s="6"/>
      <c r="F172" s="23"/>
      <c r="G172" s="9">
        <f t="shared" si="2"/>
        <v>4573650</v>
      </c>
    </row>
    <row r="173" spans="1:7" ht="15.75" thickBot="1" x14ac:dyDescent="0.3">
      <c r="A173" s="10">
        <v>172</v>
      </c>
      <c r="B173" s="3"/>
      <c r="C173" s="4" t="s">
        <v>117</v>
      </c>
      <c r="D173" s="5"/>
      <c r="E173" s="6"/>
      <c r="F173" s="23"/>
      <c r="G173" s="9">
        <f t="shared" si="2"/>
        <v>4573650</v>
      </c>
    </row>
    <row r="174" spans="1:7" x14ac:dyDescent="0.25">
      <c r="A174" s="2">
        <v>173</v>
      </c>
      <c r="B174" s="3"/>
      <c r="C174" s="4" t="s">
        <v>117</v>
      </c>
      <c r="D174" s="5"/>
      <c r="E174" s="6"/>
      <c r="F174" s="23"/>
      <c r="G174" s="9">
        <f t="shared" si="2"/>
        <v>4573650</v>
      </c>
    </row>
    <row r="175" spans="1:7" x14ac:dyDescent="0.25">
      <c r="A175" s="8">
        <v>174</v>
      </c>
      <c r="B175" s="3"/>
      <c r="C175" s="4" t="s">
        <v>117</v>
      </c>
      <c r="D175" s="5"/>
      <c r="E175" s="6"/>
      <c r="F175" s="23"/>
      <c r="G175" s="9">
        <f t="shared" si="2"/>
        <v>4573650</v>
      </c>
    </row>
    <row r="176" spans="1:7" x14ac:dyDescent="0.25">
      <c r="A176" s="8">
        <v>175</v>
      </c>
      <c r="B176" s="3"/>
      <c r="C176" s="4" t="s">
        <v>117</v>
      </c>
      <c r="D176" s="5"/>
      <c r="E176" s="6"/>
      <c r="F176" s="23"/>
      <c r="G176" s="9">
        <f t="shared" si="2"/>
        <v>4573650</v>
      </c>
    </row>
    <row r="177" spans="1:7" ht="15.75" thickBot="1" x14ac:dyDescent="0.3">
      <c r="A177" s="10">
        <v>176</v>
      </c>
      <c r="B177" s="3"/>
      <c r="C177" s="4" t="s">
        <v>117</v>
      </c>
      <c r="D177" s="5"/>
      <c r="E177" s="6"/>
      <c r="F177" s="23"/>
      <c r="G177" s="9">
        <f t="shared" si="2"/>
        <v>4573650</v>
      </c>
    </row>
    <row r="178" spans="1:7" x14ac:dyDescent="0.25">
      <c r="A178" s="2">
        <v>177</v>
      </c>
      <c r="B178" s="3"/>
      <c r="C178" s="4" t="s">
        <v>117</v>
      </c>
      <c r="D178" s="5"/>
      <c r="E178" s="6"/>
      <c r="F178" s="23"/>
      <c r="G178" s="9">
        <f t="shared" si="2"/>
        <v>4573650</v>
      </c>
    </row>
    <row r="179" spans="1:7" x14ac:dyDescent="0.25">
      <c r="A179" s="8">
        <v>178</v>
      </c>
      <c r="B179" s="3"/>
      <c r="C179" s="4" t="s">
        <v>117</v>
      </c>
      <c r="D179" s="5"/>
      <c r="E179" s="6"/>
      <c r="F179" s="23"/>
      <c r="G179" s="9">
        <f t="shared" si="2"/>
        <v>4573650</v>
      </c>
    </row>
    <row r="180" spans="1:7" x14ac:dyDescent="0.25">
      <c r="A180" s="8">
        <v>179</v>
      </c>
      <c r="B180" s="3"/>
      <c r="C180" s="4" t="s">
        <v>117</v>
      </c>
      <c r="D180" s="5"/>
      <c r="E180" s="6"/>
      <c r="F180" s="23"/>
      <c r="G180" s="9">
        <f t="shared" si="2"/>
        <v>4573650</v>
      </c>
    </row>
    <row r="181" spans="1:7" ht="15.75" thickBot="1" x14ac:dyDescent="0.3">
      <c r="A181" s="10">
        <v>180</v>
      </c>
      <c r="B181" s="3"/>
      <c r="C181" s="4" t="s">
        <v>117</v>
      </c>
      <c r="D181" s="5"/>
      <c r="E181" s="6"/>
      <c r="F181" s="23"/>
      <c r="G181" s="9">
        <f t="shared" si="2"/>
        <v>4573650</v>
      </c>
    </row>
    <row r="182" spans="1:7" x14ac:dyDescent="0.25">
      <c r="A182" s="2">
        <v>181</v>
      </c>
      <c r="B182" s="3"/>
      <c r="C182" s="4" t="s">
        <v>117</v>
      </c>
      <c r="D182" s="5"/>
      <c r="E182" s="6"/>
      <c r="F182" s="23"/>
      <c r="G182" s="9">
        <f t="shared" si="2"/>
        <v>4573650</v>
      </c>
    </row>
    <row r="183" spans="1:7" x14ac:dyDescent="0.25">
      <c r="A183" s="8">
        <v>182</v>
      </c>
      <c r="B183" s="3"/>
      <c r="C183" s="4" t="s">
        <v>117</v>
      </c>
      <c r="D183" s="5"/>
      <c r="E183" s="6"/>
      <c r="F183" s="23"/>
      <c r="G183" s="9">
        <f t="shared" si="2"/>
        <v>4573650</v>
      </c>
    </row>
    <row r="184" spans="1:7" x14ac:dyDescent="0.25">
      <c r="A184" s="8">
        <v>183</v>
      </c>
      <c r="B184" s="3"/>
      <c r="C184" s="4" t="s">
        <v>117</v>
      </c>
      <c r="D184" s="5"/>
      <c r="E184" s="6"/>
      <c r="F184" s="23"/>
      <c r="G184" s="9">
        <f t="shared" si="2"/>
        <v>4573650</v>
      </c>
    </row>
    <row r="185" spans="1:7" ht="15.75" thickBot="1" x14ac:dyDescent="0.3">
      <c r="A185" s="10">
        <v>184</v>
      </c>
      <c r="B185" s="3"/>
      <c r="C185" s="4" t="s">
        <v>117</v>
      </c>
      <c r="D185" s="5"/>
      <c r="E185" s="6"/>
      <c r="F185" s="23"/>
      <c r="G185" s="9">
        <f t="shared" si="2"/>
        <v>4573650</v>
      </c>
    </row>
    <row r="186" spans="1:7" x14ac:dyDescent="0.25">
      <c r="A186" s="2">
        <v>185</v>
      </c>
      <c r="B186" s="3"/>
      <c r="C186" s="4" t="s">
        <v>117</v>
      </c>
      <c r="D186" s="5"/>
      <c r="E186" s="6"/>
      <c r="F186" s="23"/>
      <c r="G186" s="9">
        <f t="shared" si="2"/>
        <v>4573650</v>
      </c>
    </row>
    <row r="187" spans="1:7" x14ac:dyDescent="0.25">
      <c r="A187" s="8">
        <v>186</v>
      </c>
      <c r="B187" s="3"/>
      <c r="C187" s="4" t="s">
        <v>117</v>
      </c>
      <c r="D187" s="5"/>
      <c r="E187" s="6"/>
      <c r="F187" s="23"/>
      <c r="G187" s="9">
        <f t="shared" si="2"/>
        <v>4573650</v>
      </c>
    </row>
    <row r="188" spans="1:7" x14ac:dyDescent="0.25">
      <c r="A188" s="8">
        <v>187</v>
      </c>
      <c r="B188" s="3"/>
      <c r="C188" s="4" t="s">
        <v>117</v>
      </c>
      <c r="D188" s="5"/>
      <c r="E188" s="6"/>
      <c r="F188" s="23"/>
      <c r="G188" s="9">
        <f t="shared" si="2"/>
        <v>4573650</v>
      </c>
    </row>
    <row r="189" spans="1:7" ht="15.75" thickBot="1" x14ac:dyDescent="0.3">
      <c r="A189" s="10">
        <v>188</v>
      </c>
      <c r="B189" s="3"/>
      <c r="C189" s="4" t="s">
        <v>117</v>
      </c>
      <c r="D189" s="5"/>
      <c r="E189" s="6"/>
      <c r="F189" s="23"/>
      <c r="G189" s="9">
        <f t="shared" si="2"/>
        <v>4573650</v>
      </c>
    </row>
    <row r="190" spans="1:7" x14ac:dyDescent="0.25">
      <c r="A190" s="2">
        <v>189</v>
      </c>
      <c r="B190" s="3"/>
      <c r="C190" s="4" t="s">
        <v>117</v>
      </c>
      <c r="D190" s="5"/>
      <c r="E190" s="6"/>
      <c r="F190" s="23"/>
      <c r="G190" s="9">
        <f t="shared" si="2"/>
        <v>4573650</v>
      </c>
    </row>
    <row r="191" spans="1:7" x14ac:dyDescent="0.25">
      <c r="A191" s="8">
        <v>190</v>
      </c>
      <c r="B191" s="3"/>
      <c r="C191" s="4" t="s">
        <v>117</v>
      </c>
      <c r="D191" s="5"/>
      <c r="E191" s="6"/>
      <c r="F191" s="23"/>
      <c r="G191" s="9">
        <f t="shared" si="2"/>
        <v>4573650</v>
      </c>
    </row>
    <row r="192" spans="1:7" x14ac:dyDescent="0.25">
      <c r="A192" s="8">
        <v>191</v>
      </c>
      <c r="B192" s="3"/>
      <c r="C192" s="4" t="s">
        <v>117</v>
      </c>
      <c r="D192" s="5"/>
      <c r="E192" s="6"/>
      <c r="F192" s="23"/>
      <c r="G192" s="9">
        <f t="shared" si="2"/>
        <v>4573650</v>
      </c>
    </row>
    <row r="193" spans="1:7" ht="15.75" thickBot="1" x14ac:dyDescent="0.3">
      <c r="A193" s="10">
        <v>192</v>
      </c>
      <c r="B193" s="3"/>
      <c r="C193" s="4" t="s">
        <v>117</v>
      </c>
      <c r="D193" s="5"/>
      <c r="E193" s="6"/>
      <c r="F193" s="23"/>
      <c r="G193" s="9">
        <f t="shared" si="2"/>
        <v>4573650</v>
      </c>
    </row>
    <row r="194" spans="1:7" x14ac:dyDescent="0.25">
      <c r="A194" s="2">
        <v>193</v>
      </c>
      <c r="B194" s="3"/>
      <c r="C194" s="4" t="s">
        <v>117</v>
      </c>
      <c r="D194" s="5"/>
      <c r="E194" s="6"/>
      <c r="F194" s="23"/>
      <c r="G194" s="9">
        <f t="shared" si="2"/>
        <v>4573650</v>
      </c>
    </row>
    <row r="195" spans="1:7" x14ac:dyDescent="0.25">
      <c r="A195" s="8">
        <v>194</v>
      </c>
      <c r="B195" s="3"/>
      <c r="C195" s="4" t="s">
        <v>117</v>
      </c>
      <c r="D195" s="5"/>
      <c r="E195" s="6"/>
      <c r="F195" s="23"/>
      <c r="G195" s="9">
        <f t="shared" si="2"/>
        <v>4573650</v>
      </c>
    </row>
    <row r="196" spans="1:7" x14ac:dyDescent="0.25">
      <c r="A196" s="8">
        <v>195</v>
      </c>
      <c r="B196" s="3"/>
      <c r="C196" s="4" t="s">
        <v>117</v>
      </c>
      <c r="D196" s="5"/>
      <c r="E196" s="6"/>
      <c r="F196" s="23"/>
      <c r="G196" s="9">
        <f t="shared" ref="G196:G259" si="3">G195+E196-F196</f>
        <v>4573650</v>
      </c>
    </row>
    <row r="197" spans="1:7" ht="15.75" thickBot="1" x14ac:dyDescent="0.3">
      <c r="A197" s="10">
        <v>196</v>
      </c>
      <c r="B197" s="3"/>
      <c r="C197" s="4" t="s">
        <v>117</v>
      </c>
      <c r="D197" s="5"/>
      <c r="E197" s="6"/>
      <c r="F197" s="23"/>
      <c r="G197" s="9">
        <f t="shared" si="3"/>
        <v>4573650</v>
      </c>
    </row>
    <row r="198" spans="1:7" x14ac:dyDescent="0.25">
      <c r="A198" s="2">
        <v>197</v>
      </c>
      <c r="B198" s="3"/>
      <c r="C198" s="4" t="s">
        <v>117</v>
      </c>
      <c r="D198" s="5"/>
      <c r="E198" s="6"/>
      <c r="F198" s="23"/>
      <c r="G198" s="9">
        <f t="shared" si="3"/>
        <v>4573650</v>
      </c>
    </row>
    <row r="199" spans="1:7" x14ac:dyDescent="0.25">
      <c r="A199" s="8">
        <v>198</v>
      </c>
      <c r="B199" s="3"/>
      <c r="C199" s="4" t="s">
        <v>117</v>
      </c>
      <c r="D199" s="5"/>
      <c r="E199" s="6"/>
      <c r="F199" s="23"/>
      <c r="G199" s="9">
        <f t="shared" si="3"/>
        <v>4573650</v>
      </c>
    </row>
    <row r="200" spans="1:7" x14ac:dyDescent="0.25">
      <c r="A200" s="8">
        <v>199</v>
      </c>
      <c r="B200" s="3"/>
      <c r="C200" s="4" t="s">
        <v>117</v>
      </c>
      <c r="D200" s="5"/>
      <c r="E200" s="6"/>
      <c r="F200" s="23"/>
      <c r="G200" s="9">
        <f t="shared" si="3"/>
        <v>4573650</v>
      </c>
    </row>
    <row r="201" spans="1:7" ht="15.75" thickBot="1" x14ac:dyDescent="0.3">
      <c r="A201" s="10">
        <v>200</v>
      </c>
      <c r="B201" s="3"/>
      <c r="C201" s="4" t="s">
        <v>117</v>
      </c>
      <c r="D201" s="5"/>
      <c r="E201" s="6"/>
      <c r="F201" s="23"/>
      <c r="G201" s="9">
        <f t="shared" si="3"/>
        <v>4573650</v>
      </c>
    </row>
    <row r="202" spans="1:7" x14ac:dyDescent="0.25">
      <c r="A202" s="2">
        <v>201</v>
      </c>
      <c r="B202" s="3"/>
      <c r="C202" s="4" t="s">
        <v>117</v>
      </c>
      <c r="D202" s="5"/>
      <c r="E202" s="6"/>
      <c r="F202" s="23"/>
      <c r="G202" s="9">
        <f t="shared" si="3"/>
        <v>4573650</v>
      </c>
    </row>
    <row r="203" spans="1:7" x14ac:dyDescent="0.25">
      <c r="A203" s="8">
        <v>202</v>
      </c>
      <c r="B203" s="3"/>
      <c r="C203" s="4" t="s">
        <v>117</v>
      </c>
      <c r="D203" s="5"/>
      <c r="E203" s="6"/>
      <c r="F203" s="23"/>
      <c r="G203" s="9">
        <f t="shared" si="3"/>
        <v>4573650</v>
      </c>
    </row>
    <row r="204" spans="1:7" x14ac:dyDescent="0.25">
      <c r="A204" s="8">
        <v>203</v>
      </c>
      <c r="B204" s="3"/>
      <c r="C204" s="4" t="s">
        <v>117</v>
      </c>
      <c r="D204" s="5"/>
      <c r="E204" s="6"/>
      <c r="F204" s="23"/>
      <c r="G204" s="9">
        <f t="shared" si="3"/>
        <v>4573650</v>
      </c>
    </row>
    <row r="205" spans="1:7" ht="15.75" thickBot="1" x14ac:dyDescent="0.3">
      <c r="A205" s="10">
        <v>204</v>
      </c>
      <c r="B205" s="3"/>
      <c r="C205" s="4" t="s">
        <v>117</v>
      </c>
      <c r="D205" s="5"/>
      <c r="E205" s="6"/>
      <c r="F205" s="23"/>
      <c r="G205" s="9">
        <f t="shared" si="3"/>
        <v>4573650</v>
      </c>
    </row>
    <row r="206" spans="1:7" x14ac:dyDescent="0.25">
      <c r="A206" s="2">
        <v>205</v>
      </c>
      <c r="B206" s="3"/>
      <c r="C206" s="4" t="s">
        <v>117</v>
      </c>
      <c r="D206" s="5"/>
      <c r="E206" s="6"/>
      <c r="F206" s="23"/>
      <c r="G206" s="9">
        <f t="shared" si="3"/>
        <v>4573650</v>
      </c>
    </row>
    <row r="207" spans="1:7" x14ac:dyDescent="0.25">
      <c r="A207" s="8">
        <v>206</v>
      </c>
      <c r="B207" s="3"/>
      <c r="C207" s="4" t="s">
        <v>117</v>
      </c>
      <c r="D207" s="5"/>
      <c r="E207" s="6"/>
      <c r="F207" s="23"/>
      <c r="G207" s="9">
        <f t="shared" si="3"/>
        <v>4573650</v>
      </c>
    </row>
    <row r="208" spans="1:7" x14ac:dyDescent="0.25">
      <c r="A208" s="8">
        <v>207</v>
      </c>
      <c r="B208" s="3"/>
      <c r="C208" s="4" t="s">
        <v>117</v>
      </c>
      <c r="D208" s="5"/>
      <c r="E208" s="6"/>
      <c r="F208" s="23"/>
      <c r="G208" s="9">
        <f t="shared" si="3"/>
        <v>4573650</v>
      </c>
    </row>
    <row r="209" spans="1:7" ht="15.75" thickBot="1" x14ac:dyDescent="0.3">
      <c r="A209" s="10">
        <v>208</v>
      </c>
      <c r="B209" s="3"/>
      <c r="C209" s="4" t="s">
        <v>117</v>
      </c>
      <c r="D209" s="5"/>
      <c r="E209" s="6"/>
      <c r="F209" s="23"/>
      <c r="G209" s="9">
        <f t="shared" si="3"/>
        <v>4573650</v>
      </c>
    </row>
    <row r="210" spans="1:7" x14ac:dyDescent="0.25">
      <c r="A210" s="2">
        <v>209</v>
      </c>
      <c r="B210" s="3"/>
      <c r="C210" s="4" t="s">
        <v>117</v>
      </c>
      <c r="D210" s="5"/>
      <c r="E210" s="6"/>
      <c r="F210" s="23"/>
      <c r="G210" s="9">
        <f t="shared" si="3"/>
        <v>4573650</v>
      </c>
    </row>
    <row r="211" spans="1:7" x14ac:dyDescent="0.25">
      <c r="A211" s="8">
        <v>210</v>
      </c>
      <c r="B211" s="3"/>
      <c r="C211" s="4" t="s">
        <v>117</v>
      </c>
      <c r="D211" s="5"/>
      <c r="E211" s="6"/>
      <c r="F211" s="23"/>
      <c r="G211" s="9">
        <f t="shared" si="3"/>
        <v>4573650</v>
      </c>
    </row>
    <row r="212" spans="1:7" x14ac:dyDescent="0.25">
      <c r="A212" s="8">
        <v>211</v>
      </c>
      <c r="B212" s="3"/>
      <c r="C212" s="4" t="s">
        <v>117</v>
      </c>
      <c r="D212" s="5"/>
      <c r="E212" s="6"/>
      <c r="F212" s="23"/>
      <c r="G212" s="9">
        <f t="shared" si="3"/>
        <v>4573650</v>
      </c>
    </row>
    <row r="213" spans="1:7" ht="15.75" thickBot="1" x14ac:dyDescent="0.3">
      <c r="A213" s="10">
        <v>212</v>
      </c>
      <c r="B213" s="3"/>
      <c r="C213" s="4" t="s">
        <v>117</v>
      </c>
      <c r="D213" s="5"/>
      <c r="E213" s="6"/>
      <c r="F213" s="23"/>
      <c r="G213" s="9">
        <f t="shared" si="3"/>
        <v>4573650</v>
      </c>
    </row>
    <row r="214" spans="1:7" x14ac:dyDescent="0.25">
      <c r="A214" s="2">
        <v>213</v>
      </c>
      <c r="B214" s="3"/>
      <c r="C214" s="4" t="s">
        <v>117</v>
      </c>
      <c r="D214" s="5"/>
      <c r="E214" s="6"/>
      <c r="F214" s="23"/>
      <c r="G214" s="9">
        <f t="shared" si="3"/>
        <v>4573650</v>
      </c>
    </row>
    <row r="215" spans="1:7" x14ac:dyDescent="0.25">
      <c r="A215" s="8">
        <v>214</v>
      </c>
      <c r="B215" s="3"/>
      <c r="C215" s="4" t="s">
        <v>117</v>
      </c>
      <c r="D215" s="5"/>
      <c r="E215" s="6"/>
      <c r="F215" s="23"/>
      <c r="G215" s="9">
        <f t="shared" si="3"/>
        <v>4573650</v>
      </c>
    </row>
    <row r="216" spans="1:7" x14ac:dyDescent="0.25">
      <c r="A216" s="8">
        <v>215</v>
      </c>
      <c r="B216" s="3"/>
      <c r="C216" s="4" t="s">
        <v>117</v>
      </c>
      <c r="D216" s="5"/>
      <c r="E216" s="6"/>
      <c r="F216" s="23"/>
      <c r="G216" s="9">
        <f t="shared" si="3"/>
        <v>4573650</v>
      </c>
    </row>
    <row r="217" spans="1:7" ht="15.75" thickBot="1" x14ac:dyDescent="0.3">
      <c r="A217" s="10">
        <v>216</v>
      </c>
      <c r="B217" s="3"/>
      <c r="C217" s="4" t="s">
        <v>117</v>
      </c>
      <c r="D217" s="5"/>
      <c r="E217" s="6"/>
      <c r="F217" s="23"/>
      <c r="G217" s="9">
        <f t="shared" si="3"/>
        <v>4573650</v>
      </c>
    </row>
    <row r="218" spans="1:7" x14ac:dyDescent="0.25">
      <c r="A218" s="2">
        <v>217</v>
      </c>
      <c r="B218" s="3"/>
      <c r="C218" s="4" t="s">
        <v>117</v>
      </c>
      <c r="D218" s="5"/>
      <c r="E218" s="6"/>
      <c r="F218" s="23"/>
      <c r="G218" s="9">
        <f t="shared" si="3"/>
        <v>4573650</v>
      </c>
    </row>
    <row r="219" spans="1:7" x14ac:dyDescent="0.25">
      <c r="A219" s="8">
        <v>218</v>
      </c>
      <c r="B219" s="3"/>
      <c r="C219" s="4" t="s">
        <v>117</v>
      </c>
      <c r="D219" s="5"/>
      <c r="E219" s="6"/>
      <c r="F219" s="23"/>
      <c r="G219" s="9">
        <f t="shared" si="3"/>
        <v>4573650</v>
      </c>
    </row>
    <row r="220" spans="1:7" x14ac:dyDescent="0.25">
      <c r="A220" s="8">
        <v>219</v>
      </c>
      <c r="B220" s="3"/>
      <c r="C220" s="4" t="s">
        <v>117</v>
      </c>
      <c r="D220" s="5"/>
      <c r="E220" s="6"/>
      <c r="F220" s="23"/>
      <c r="G220" s="9">
        <f t="shared" si="3"/>
        <v>4573650</v>
      </c>
    </row>
    <row r="221" spans="1:7" ht="15.75" thickBot="1" x14ac:dyDescent="0.3">
      <c r="A221" s="10">
        <v>220</v>
      </c>
      <c r="B221" s="3"/>
      <c r="C221" s="4" t="s">
        <v>117</v>
      </c>
      <c r="D221" s="5"/>
      <c r="E221" s="6"/>
      <c r="F221" s="23"/>
      <c r="G221" s="9">
        <f t="shared" si="3"/>
        <v>4573650</v>
      </c>
    </row>
    <row r="222" spans="1:7" x14ac:dyDescent="0.25">
      <c r="A222" s="2">
        <v>221</v>
      </c>
      <c r="B222" s="3"/>
      <c r="C222" s="4" t="s">
        <v>117</v>
      </c>
      <c r="D222" s="5"/>
      <c r="E222" s="6"/>
      <c r="F222" s="23"/>
      <c r="G222" s="9">
        <f t="shared" si="3"/>
        <v>4573650</v>
      </c>
    </row>
    <row r="223" spans="1:7" x14ac:dyDescent="0.25">
      <c r="A223" s="8">
        <v>222</v>
      </c>
      <c r="B223" s="3"/>
      <c r="C223" s="4" t="s">
        <v>117</v>
      </c>
      <c r="D223" s="5"/>
      <c r="E223" s="6"/>
      <c r="F223" s="23"/>
      <c r="G223" s="9">
        <f t="shared" si="3"/>
        <v>4573650</v>
      </c>
    </row>
    <row r="224" spans="1:7" x14ac:dyDescent="0.25">
      <c r="A224" s="8">
        <v>223</v>
      </c>
      <c r="B224" s="3"/>
      <c r="C224" s="4" t="s">
        <v>117</v>
      </c>
      <c r="D224" s="5"/>
      <c r="E224" s="6"/>
      <c r="F224" s="23"/>
      <c r="G224" s="9">
        <f t="shared" si="3"/>
        <v>4573650</v>
      </c>
    </row>
    <row r="225" spans="1:7" ht="15.75" thickBot="1" x14ac:dyDescent="0.3">
      <c r="A225" s="10">
        <v>224</v>
      </c>
      <c r="B225" s="3"/>
      <c r="C225" s="4" t="s">
        <v>117</v>
      </c>
      <c r="D225" s="5"/>
      <c r="E225" s="6"/>
      <c r="F225" s="23"/>
      <c r="G225" s="9">
        <f t="shared" si="3"/>
        <v>4573650</v>
      </c>
    </row>
    <row r="226" spans="1:7" x14ac:dyDescent="0.25">
      <c r="A226" s="2">
        <v>225</v>
      </c>
      <c r="B226" s="3"/>
      <c r="C226" s="4" t="s">
        <v>117</v>
      </c>
      <c r="D226" s="5"/>
      <c r="E226" s="6"/>
      <c r="F226" s="23"/>
      <c r="G226" s="9">
        <f t="shared" si="3"/>
        <v>4573650</v>
      </c>
    </row>
    <row r="227" spans="1:7" x14ac:dyDescent="0.25">
      <c r="A227" s="8">
        <v>226</v>
      </c>
      <c r="B227" s="3"/>
      <c r="C227" s="4" t="s">
        <v>117</v>
      </c>
      <c r="D227" s="5"/>
      <c r="E227" s="6"/>
      <c r="F227" s="6"/>
      <c r="G227" s="9">
        <f t="shared" si="3"/>
        <v>4573650</v>
      </c>
    </row>
    <row r="228" spans="1:7" x14ac:dyDescent="0.25">
      <c r="A228" s="8">
        <v>227</v>
      </c>
      <c r="B228" s="3"/>
      <c r="C228" s="4" t="s">
        <v>117</v>
      </c>
      <c r="D228" s="5"/>
      <c r="E228" s="6"/>
      <c r="F228" s="6"/>
      <c r="G228" s="9">
        <f t="shared" si="3"/>
        <v>4573650</v>
      </c>
    </row>
    <row r="229" spans="1:7" ht="15.75" thickBot="1" x14ac:dyDescent="0.3">
      <c r="A229" s="10">
        <v>228</v>
      </c>
      <c r="B229" s="3"/>
      <c r="C229" s="4" t="s">
        <v>117</v>
      </c>
      <c r="D229" s="5"/>
      <c r="E229" s="6"/>
      <c r="F229" s="23"/>
      <c r="G229" s="9">
        <f t="shared" si="3"/>
        <v>4573650</v>
      </c>
    </row>
    <row r="230" spans="1:7" x14ac:dyDescent="0.25">
      <c r="A230" s="2">
        <v>229</v>
      </c>
      <c r="B230" s="3"/>
      <c r="C230" s="4" t="s">
        <v>117</v>
      </c>
      <c r="D230" s="5"/>
      <c r="E230" s="6"/>
      <c r="F230" s="23"/>
      <c r="G230" s="9">
        <f t="shared" si="3"/>
        <v>4573650</v>
      </c>
    </row>
    <row r="231" spans="1:7" x14ac:dyDescent="0.25">
      <c r="A231" s="8">
        <v>230</v>
      </c>
      <c r="B231" s="3"/>
      <c r="C231" s="4" t="s">
        <v>117</v>
      </c>
      <c r="D231" s="5"/>
      <c r="E231" s="6"/>
      <c r="F231" s="23"/>
      <c r="G231" s="9">
        <f t="shared" si="3"/>
        <v>4573650</v>
      </c>
    </row>
    <row r="232" spans="1:7" x14ac:dyDescent="0.25">
      <c r="A232" s="8">
        <v>231</v>
      </c>
      <c r="B232" s="3"/>
      <c r="C232" s="4" t="s">
        <v>117</v>
      </c>
      <c r="D232" s="5"/>
      <c r="E232" s="6"/>
      <c r="F232" s="23"/>
      <c r="G232" s="9">
        <f t="shared" si="3"/>
        <v>4573650</v>
      </c>
    </row>
    <row r="233" spans="1:7" ht="15.75" thickBot="1" x14ac:dyDescent="0.3">
      <c r="A233" s="10">
        <v>232</v>
      </c>
      <c r="B233" s="3"/>
      <c r="C233" s="4" t="s">
        <v>117</v>
      </c>
      <c r="D233" s="5"/>
      <c r="E233" s="6"/>
      <c r="F233" s="23"/>
      <c r="G233" s="9">
        <f t="shared" si="3"/>
        <v>4573650</v>
      </c>
    </row>
    <row r="234" spans="1:7" x14ac:dyDescent="0.25">
      <c r="A234" s="2">
        <v>233</v>
      </c>
      <c r="B234" s="3"/>
      <c r="C234" s="4" t="s">
        <v>117</v>
      </c>
      <c r="D234" s="5"/>
      <c r="E234" s="6"/>
      <c r="F234" s="23"/>
      <c r="G234" s="9">
        <f t="shared" si="3"/>
        <v>4573650</v>
      </c>
    </row>
    <row r="235" spans="1:7" x14ac:dyDescent="0.25">
      <c r="A235" s="8">
        <v>234</v>
      </c>
      <c r="B235" s="3"/>
      <c r="C235" s="4" t="s">
        <v>117</v>
      </c>
      <c r="D235" s="5"/>
      <c r="E235" s="6"/>
      <c r="F235" s="23"/>
      <c r="G235" s="9">
        <f t="shared" si="3"/>
        <v>4573650</v>
      </c>
    </row>
    <row r="236" spans="1:7" x14ac:dyDescent="0.25">
      <c r="A236" s="8">
        <v>235</v>
      </c>
      <c r="B236" s="3"/>
      <c r="C236" s="4" t="s">
        <v>117</v>
      </c>
      <c r="D236" s="5"/>
      <c r="E236" s="6"/>
      <c r="F236" s="23"/>
      <c r="G236" s="9">
        <f t="shared" si="3"/>
        <v>4573650</v>
      </c>
    </row>
    <row r="237" spans="1:7" ht="15.75" thickBot="1" x14ac:dyDescent="0.3">
      <c r="A237" s="10">
        <v>236</v>
      </c>
      <c r="B237" s="3"/>
      <c r="C237" s="4" t="s">
        <v>117</v>
      </c>
      <c r="D237" s="5"/>
      <c r="E237" s="6"/>
      <c r="F237" s="23"/>
      <c r="G237" s="9">
        <f t="shared" si="3"/>
        <v>4573650</v>
      </c>
    </row>
    <row r="238" spans="1:7" x14ac:dyDescent="0.25">
      <c r="A238" s="2">
        <v>237</v>
      </c>
      <c r="B238" s="3"/>
      <c r="C238" s="4" t="s">
        <v>117</v>
      </c>
      <c r="D238" s="5"/>
      <c r="E238" s="6"/>
      <c r="F238" s="23"/>
      <c r="G238" s="9">
        <f t="shared" si="3"/>
        <v>4573650</v>
      </c>
    </row>
    <row r="239" spans="1:7" x14ac:dyDescent="0.25">
      <c r="A239" s="8">
        <v>238</v>
      </c>
      <c r="B239" s="3"/>
      <c r="C239" s="4" t="s">
        <v>117</v>
      </c>
      <c r="D239" s="5"/>
      <c r="E239" s="6"/>
      <c r="F239" s="23"/>
      <c r="G239" s="9">
        <f t="shared" si="3"/>
        <v>4573650</v>
      </c>
    </row>
    <row r="240" spans="1:7" x14ac:dyDescent="0.25">
      <c r="A240" s="8">
        <v>239</v>
      </c>
      <c r="B240" s="3"/>
      <c r="C240" s="4" t="s">
        <v>117</v>
      </c>
      <c r="D240" s="5"/>
      <c r="E240" s="6"/>
      <c r="F240" s="23"/>
      <c r="G240" s="9">
        <f t="shared" si="3"/>
        <v>4573650</v>
      </c>
    </row>
    <row r="241" spans="1:7" ht="15.75" thickBot="1" x14ac:dyDescent="0.3">
      <c r="A241" s="10">
        <v>240</v>
      </c>
      <c r="B241" s="3"/>
      <c r="C241" s="4" t="s">
        <v>117</v>
      </c>
      <c r="D241" s="5"/>
      <c r="E241" s="6"/>
      <c r="F241" s="23"/>
      <c r="G241" s="9">
        <f t="shared" si="3"/>
        <v>4573650</v>
      </c>
    </row>
    <row r="242" spans="1:7" x14ac:dyDescent="0.25">
      <c r="A242" s="2">
        <v>241</v>
      </c>
      <c r="B242" s="3"/>
      <c r="C242" s="4" t="s">
        <v>117</v>
      </c>
      <c r="D242" s="5"/>
      <c r="E242" s="6"/>
      <c r="F242" s="23"/>
      <c r="G242" s="9">
        <f t="shared" si="3"/>
        <v>4573650</v>
      </c>
    </row>
    <row r="243" spans="1:7" x14ac:dyDescent="0.25">
      <c r="A243" s="8">
        <v>242</v>
      </c>
      <c r="B243" s="3"/>
      <c r="C243" s="4" t="s">
        <v>117</v>
      </c>
      <c r="D243" s="5"/>
      <c r="E243" s="6"/>
      <c r="F243" s="23"/>
      <c r="G243" s="9">
        <f t="shared" si="3"/>
        <v>4573650</v>
      </c>
    </row>
    <row r="244" spans="1:7" x14ac:dyDescent="0.25">
      <c r="A244" s="8">
        <v>243</v>
      </c>
      <c r="B244" s="3"/>
      <c r="C244" s="4" t="s">
        <v>117</v>
      </c>
      <c r="D244" s="5"/>
      <c r="E244" s="6"/>
      <c r="F244" s="23"/>
      <c r="G244" s="9">
        <f t="shared" si="3"/>
        <v>4573650</v>
      </c>
    </row>
    <row r="245" spans="1:7" ht="15.75" thickBot="1" x14ac:dyDescent="0.3">
      <c r="A245" s="10">
        <v>244</v>
      </c>
      <c r="B245" s="3"/>
      <c r="C245" s="4" t="s">
        <v>117</v>
      </c>
      <c r="D245" s="5"/>
      <c r="E245" s="6"/>
      <c r="F245" s="23"/>
      <c r="G245" s="9">
        <f t="shared" si="3"/>
        <v>4573650</v>
      </c>
    </row>
    <row r="246" spans="1:7" x14ac:dyDescent="0.25">
      <c r="A246" s="2">
        <v>245</v>
      </c>
      <c r="B246" s="3"/>
      <c r="C246" s="4" t="s">
        <v>117</v>
      </c>
      <c r="D246" s="5"/>
      <c r="E246" s="6"/>
      <c r="F246" s="23"/>
      <c r="G246" s="9">
        <f t="shared" si="3"/>
        <v>4573650</v>
      </c>
    </row>
    <row r="247" spans="1:7" x14ac:dyDescent="0.25">
      <c r="A247" s="8">
        <v>246</v>
      </c>
      <c r="B247" s="3"/>
      <c r="C247" s="4" t="s">
        <v>117</v>
      </c>
      <c r="D247" s="5"/>
      <c r="E247" s="6"/>
      <c r="F247" s="23"/>
      <c r="G247" s="9">
        <f t="shared" si="3"/>
        <v>4573650</v>
      </c>
    </row>
    <row r="248" spans="1:7" x14ac:dyDescent="0.25">
      <c r="A248" s="8">
        <v>247</v>
      </c>
      <c r="B248" s="3"/>
      <c r="C248" s="4" t="s">
        <v>117</v>
      </c>
      <c r="D248" s="5"/>
      <c r="E248" s="6"/>
      <c r="F248" s="23"/>
      <c r="G248" s="9">
        <f t="shared" si="3"/>
        <v>4573650</v>
      </c>
    </row>
    <row r="249" spans="1:7" ht="15.75" thickBot="1" x14ac:dyDescent="0.3">
      <c r="A249" s="10">
        <v>248</v>
      </c>
      <c r="B249" s="3"/>
      <c r="C249" s="4" t="s">
        <v>117</v>
      </c>
      <c r="D249" s="5"/>
      <c r="E249" s="6"/>
      <c r="F249" s="23"/>
      <c r="G249" s="9">
        <f t="shared" si="3"/>
        <v>4573650</v>
      </c>
    </row>
    <row r="250" spans="1:7" x14ac:dyDescent="0.25">
      <c r="A250" s="2">
        <v>249</v>
      </c>
      <c r="B250" s="3"/>
      <c r="C250" s="4" t="s">
        <v>117</v>
      </c>
      <c r="D250" s="5"/>
      <c r="E250" s="6"/>
      <c r="F250" s="23"/>
      <c r="G250" s="9">
        <f t="shared" si="3"/>
        <v>4573650</v>
      </c>
    </row>
    <row r="251" spans="1:7" x14ac:dyDescent="0.25">
      <c r="A251" s="8">
        <v>250</v>
      </c>
      <c r="B251" s="3"/>
      <c r="C251" s="4" t="s">
        <v>117</v>
      </c>
      <c r="D251" s="5"/>
      <c r="E251" s="6"/>
      <c r="F251" s="23"/>
      <c r="G251" s="9">
        <f t="shared" si="3"/>
        <v>4573650</v>
      </c>
    </row>
    <row r="252" spans="1:7" x14ac:dyDescent="0.25">
      <c r="A252" s="8">
        <v>251</v>
      </c>
      <c r="B252" s="3"/>
      <c r="C252" s="4" t="s">
        <v>117</v>
      </c>
      <c r="D252" s="5"/>
      <c r="E252" s="6"/>
      <c r="F252" s="23"/>
      <c r="G252" s="9">
        <f t="shared" si="3"/>
        <v>4573650</v>
      </c>
    </row>
    <row r="253" spans="1:7" ht="15.75" thickBot="1" x14ac:dyDescent="0.3">
      <c r="A253" s="10">
        <v>252</v>
      </c>
      <c r="B253" s="3"/>
      <c r="C253" s="4" t="s">
        <v>117</v>
      </c>
      <c r="D253" s="5"/>
      <c r="E253" s="6"/>
      <c r="F253" s="23"/>
      <c r="G253" s="9">
        <f t="shared" si="3"/>
        <v>4573650</v>
      </c>
    </row>
    <row r="254" spans="1:7" x14ac:dyDescent="0.25">
      <c r="A254" s="2">
        <v>253</v>
      </c>
      <c r="B254" s="3"/>
      <c r="C254" s="4"/>
      <c r="D254" s="5"/>
      <c r="E254" s="6"/>
      <c r="F254" s="23"/>
      <c r="G254" s="9">
        <f t="shared" si="3"/>
        <v>4573650</v>
      </c>
    </row>
    <row r="255" spans="1:7" x14ac:dyDescent="0.25">
      <c r="A255" s="8">
        <v>254</v>
      </c>
      <c r="B255" s="3"/>
      <c r="C255" s="4"/>
      <c r="D255" s="5"/>
      <c r="E255" s="6"/>
      <c r="F255" s="23"/>
      <c r="G255" s="9">
        <f t="shared" si="3"/>
        <v>4573650</v>
      </c>
    </row>
    <row r="256" spans="1:7" x14ac:dyDescent="0.25">
      <c r="A256" s="8">
        <v>255</v>
      </c>
      <c r="B256" s="3"/>
      <c r="C256" s="4"/>
      <c r="D256" s="5"/>
      <c r="E256" s="6"/>
      <c r="F256" s="23"/>
      <c r="G256" s="9">
        <f t="shared" si="3"/>
        <v>4573650</v>
      </c>
    </row>
    <row r="257" spans="1:7" ht="15.75" thickBot="1" x14ac:dyDescent="0.3">
      <c r="A257" s="10">
        <v>256</v>
      </c>
      <c r="B257" s="3"/>
      <c r="C257" s="4"/>
      <c r="D257" s="5"/>
      <c r="E257" s="6"/>
      <c r="F257" s="23"/>
      <c r="G257" s="9">
        <f t="shared" si="3"/>
        <v>4573650</v>
      </c>
    </row>
    <row r="258" spans="1:7" x14ac:dyDescent="0.25">
      <c r="A258" s="2">
        <v>257</v>
      </c>
      <c r="B258" s="3"/>
      <c r="C258" s="4"/>
      <c r="D258" s="5"/>
      <c r="E258" s="6"/>
      <c r="F258" s="23"/>
      <c r="G258" s="9">
        <f t="shared" si="3"/>
        <v>4573650</v>
      </c>
    </row>
    <row r="259" spans="1:7" x14ac:dyDescent="0.25">
      <c r="A259" s="8">
        <v>258</v>
      </c>
      <c r="B259" s="3"/>
      <c r="C259" s="4"/>
      <c r="D259" s="5"/>
      <c r="E259" s="6"/>
      <c r="F259" s="23"/>
      <c r="G259" s="9">
        <f t="shared" si="3"/>
        <v>4573650</v>
      </c>
    </row>
    <row r="260" spans="1:7" x14ac:dyDescent="0.25">
      <c r="A260" s="8">
        <v>259</v>
      </c>
      <c r="B260" s="3"/>
      <c r="C260" s="4"/>
      <c r="D260" s="5"/>
      <c r="E260" s="6"/>
      <c r="F260" s="23"/>
      <c r="G260" s="9">
        <f t="shared" ref="G260:G278" si="4">G259+E260-F260</f>
        <v>4573650</v>
      </c>
    </row>
    <row r="261" spans="1:7" ht="15.75" thickBot="1" x14ac:dyDescent="0.3">
      <c r="A261" s="10">
        <v>260</v>
      </c>
      <c r="B261" s="3"/>
      <c r="C261" s="4"/>
      <c r="D261" s="5"/>
      <c r="E261" s="6"/>
      <c r="F261" s="23"/>
      <c r="G261" s="9">
        <f t="shared" si="4"/>
        <v>4573650</v>
      </c>
    </row>
    <row r="262" spans="1:7" x14ac:dyDescent="0.25">
      <c r="A262" s="2">
        <v>261</v>
      </c>
      <c r="B262" s="3"/>
      <c r="C262" s="4"/>
      <c r="D262" s="5"/>
      <c r="E262" s="6"/>
      <c r="F262" s="23"/>
      <c r="G262" s="9">
        <f t="shared" si="4"/>
        <v>4573650</v>
      </c>
    </row>
    <row r="263" spans="1:7" x14ac:dyDescent="0.25">
      <c r="A263" s="8">
        <v>262</v>
      </c>
      <c r="B263" s="3"/>
      <c r="C263" s="4"/>
      <c r="D263" s="5"/>
      <c r="E263" s="6"/>
      <c r="F263" s="23"/>
      <c r="G263" s="9">
        <f t="shared" si="4"/>
        <v>4573650</v>
      </c>
    </row>
    <row r="264" spans="1:7" x14ac:dyDescent="0.25">
      <c r="A264" s="8">
        <v>263</v>
      </c>
      <c r="B264" s="3"/>
      <c r="C264" s="4"/>
      <c r="D264" s="5"/>
      <c r="E264" s="6"/>
      <c r="F264" s="23"/>
      <c r="G264" s="9">
        <f t="shared" si="4"/>
        <v>4573650</v>
      </c>
    </row>
    <row r="265" spans="1:7" ht="15.75" thickBot="1" x14ac:dyDescent="0.3">
      <c r="A265" s="10">
        <v>264</v>
      </c>
      <c r="B265" s="3"/>
      <c r="C265" s="4"/>
      <c r="D265" s="5"/>
      <c r="E265" s="6"/>
      <c r="F265" s="23"/>
      <c r="G265" s="9">
        <f t="shared" si="4"/>
        <v>4573650</v>
      </c>
    </row>
    <row r="266" spans="1:7" x14ac:dyDescent="0.25">
      <c r="A266" s="2">
        <v>265</v>
      </c>
      <c r="B266" s="3"/>
      <c r="C266" s="4"/>
      <c r="D266" s="5"/>
      <c r="E266" s="6"/>
      <c r="F266" s="23"/>
      <c r="G266" s="9">
        <f t="shared" si="4"/>
        <v>4573650</v>
      </c>
    </row>
    <row r="267" spans="1:7" x14ac:dyDescent="0.25">
      <c r="A267" s="8">
        <v>266</v>
      </c>
      <c r="B267" s="3"/>
      <c r="C267" s="4"/>
      <c r="D267" s="5"/>
      <c r="E267" s="6"/>
      <c r="F267" s="23"/>
      <c r="G267" s="9">
        <f t="shared" si="4"/>
        <v>4573650</v>
      </c>
    </row>
    <row r="268" spans="1:7" x14ac:dyDescent="0.25">
      <c r="A268" s="8">
        <v>267</v>
      </c>
      <c r="B268" s="3"/>
      <c r="C268" s="4"/>
      <c r="D268" s="5"/>
      <c r="E268" s="6"/>
      <c r="F268" s="23"/>
      <c r="G268" s="9">
        <f t="shared" si="4"/>
        <v>4573650</v>
      </c>
    </row>
    <row r="269" spans="1:7" ht="15.75" thickBot="1" x14ac:dyDescent="0.3">
      <c r="A269" s="10">
        <v>268</v>
      </c>
      <c r="B269" s="3"/>
      <c r="C269" s="4"/>
      <c r="D269" s="5"/>
      <c r="E269" s="6"/>
      <c r="F269" s="23"/>
      <c r="G269" s="9">
        <f t="shared" si="4"/>
        <v>4573650</v>
      </c>
    </row>
    <row r="270" spans="1:7" x14ac:dyDescent="0.25">
      <c r="A270" s="2">
        <v>269</v>
      </c>
      <c r="B270" s="3"/>
      <c r="C270" s="4"/>
      <c r="D270" s="5"/>
      <c r="E270" s="6"/>
      <c r="F270" s="23"/>
      <c r="G270" s="9">
        <f t="shared" si="4"/>
        <v>4573650</v>
      </c>
    </row>
    <row r="271" spans="1:7" x14ac:dyDescent="0.25">
      <c r="A271" s="8">
        <v>270</v>
      </c>
      <c r="B271" s="3"/>
      <c r="C271" s="4"/>
      <c r="D271" s="5"/>
      <c r="E271" s="6"/>
      <c r="F271" s="23"/>
      <c r="G271" s="9">
        <f t="shared" si="4"/>
        <v>4573650</v>
      </c>
    </row>
    <row r="272" spans="1:7" x14ac:dyDescent="0.25">
      <c r="A272" s="8">
        <v>271</v>
      </c>
      <c r="B272" s="3"/>
      <c r="C272" s="4"/>
      <c r="D272" s="5"/>
      <c r="E272" s="6"/>
      <c r="F272" s="23"/>
      <c r="G272" s="9">
        <f t="shared" si="4"/>
        <v>4573650</v>
      </c>
    </row>
    <row r="273" spans="1:7" ht="15.75" thickBot="1" x14ac:dyDescent="0.3">
      <c r="A273" s="10">
        <v>272</v>
      </c>
      <c r="B273" s="3"/>
      <c r="C273" s="4"/>
      <c r="D273" s="5"/>
      <c r="E273" s="6"/>
      <c r="F273" s="23"/>
      <c r="G273" s="9">
        <f t="shared" si="4"/>
        <v>4573650</v>
      </c>
    </row>
    <row r="274" spans="1:7" x14ac:dyDescent="0.25">
      <c r="A274" s="2">
        <v>273</v>
      </c>
      <c r="B274" s="3"/>
      <c r="C274" s="4"/>
      <c r="D274" s="5"/>
      <c r="E274" s="6"/>
      <c r="F274" s="23"/>
      <c r="G274" s="9">
        <f t="shared" si="4"/>
        <v>4573650</v>
      </c>
    </row>
    <row r="275" spans="1:7" x14ac:dyDescent="0.25">
      <c r="A275" s="8">
        <v>274</v>
      </c>
      <c r="B275" s="3"/>
      <c r="C275" s="4"/>
      <c r="D275" s="5"/>
      <c r="E275" s="6"/>
      <c r="F275" s="23"/>
      <c r="G275" s="9">
        <f t="shared" si="4"/>
        <v>4573650</v>
      </c>
    </row>
    <row r="276" spans="1:7" x14ac:dyDescent="0.25">
      <c r="A276" s="8">
        <v>275</v>
      </c>
      <c r="B276" s="3"/>
      <c r="C276" s="4"/>
      <c r="D276" s="5"/>
      <c r="E276" s="6"/>
      <c r="F276" s="23"/>
      <c r="G276" s="9">
        <f t="shared" si="4"/>
        <v>4573650</v>
      </c>
    </row>
    <row r="277" spans="1:7" ht="15.75" thickBot="1" x14ac:dyDescent="0.3">
      <c r="A277" s="10">
        <v>276</v>
      </c>
      <c r="B277" s="3"/>
      <c r="C277" s="4"/>
      <c r="D277" s="5"/>
      <c r="E277" s="6"/>
      <c r="F277" s="23"/>
      <c r="G277" s="9">
        <f t="shared" si="4"/>
        <v>4573650</v>
      </c>
    </row>
    <row r="278" spans="1:7" x14ac:dyDescent="0.25">
      <c r="A278" s="2">
        <v>277</v>
      </c>
      <c r="B278" s="3"/>
      <c r="C278" s="4"/>
      <c r="D278" s="5"/>
      <c r="E278" s="6"/>
      <c r="F278" s="23"/>
      <c r="G278" s="9">
        <f t="shared" si="4"/>
        <v>4573650</v>
      </c>
    </row>
    <row r="279" spans="1:7" ht="15.75" thickBot="1" x14ac:dyDescent="0.3">
      <c r="A279" s="8">
        <v>278</v>
      </c>
      <c r="B279" s="3"/>
      <c r="C279" s="4"/>
      <c r="D279" s="5"/>
      <c r="E279" s="6"/>
      <c r="F279" s="23"/>
      <c r="G279" s="9">
        <f>G239+E279-F279</f>
        <v>4573650</v>
      </c>
    </row>
    <row r="280" spans="1:7" ht="15.75" thickBot="1" x14ac:dyDescent="0.3">
      <c r="A280" s="27" t="s">
        <v>118</v>
      </c>
      <c r="B280" s="28"/>
      <c r="C280" s="28"/>
      <c r="D280" s="29"/>
      <c r="E280" s="30">
        <f>SUM(E2:E279)</f>
        <v>55475400</v>
      </c>
      <c r="F280" s="31">
        <f>SUM(F2:F279)</f>
        <v>50901750</v>
      </c>
      <c r="G280" s="30">
        <f>E280-F280</f>
        <v>4573650</v>
      </c>
    </row>
  </sheetData>
  <mergeCells count="1">
    <mergeCell ref="A280:D28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Andiek Suncahyo</dc:creator>
  <cp:lastModifiedBy>Andiek Suncahyo</cp:lastModifiedBy>
  <dcterms:created xsi:type="dcterms:W3CDTF">2025-11-23T10:52:09Z</dcterms:created>
  <dcterms:modified xsi:type="dcterms:W3CDTF">2025-11-23T10:53:47Z</dcterms:modified>
</cp:coreProperties>
</file>
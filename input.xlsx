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musholah21\"/>
    </mc:Choice>
  </mc:AlternateContent>
  <xr:revisionPtr revIDLastSave="0" documentId="13_ncr:1_{B7928095-849C-47B3-B00A-C9DCDC0D5208}" xr6:coauthVersionLast="47" xr6:coauthVersionMax="47" xr10:uidLastSave="{00000000-0000-0000-0000-000000000000}"/>
  <bookViews>
    <workbookView xWindow="-120" yWindow="-120" windowWidth="29040" windowHeight="15990" xr2:uid="{2FDE7C98-321B-4481-A105-C7BB8EB78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</calcChain>
</file>

<file path=xl/sharedStrings.xml><?xml version="1.0" encoding="utf-8"?>
<sst xmlns="http://schemas.openxmlformats.org/spreadsheetml/2006/main" count="279" uniqueCount="117">
  <si>
    <t>Kas Awal Januari 2025</t>
  </si>
  <si>
    <t>Kas Awal</t>
  </si>
  <si>
    <t>Beli Semen 5 Sak</t>
  </si>
  <si>
    <t>Biaya Material</t>
  </si>
  <si>
    <t>Beli Paku + Bendrat</t>
  </si>
  <si>
    <t>Beli Cleo Gelas</t>
  </si>
  <si>
    <t>Biaya Konsumsi</t>
  </si>
  <si>
    <t>Bayar Krawangan + Pasang</t>
  </si>
  <si>
    <t>Biaya Tukang</t>
  </si>
  <si>
    <t>Jariyah Alm Bapak Sholihin Dan Almh Ibu Semi</t>
  </si>
  <si>
    <t>Sodakoh Masuk</t>
  </si>
  <si>
    <t>Jariyah Bapak Rw Gatot</t>
  </si>
  <si>
    <t>Jariyah Kbm Abah Totok</t>
  </si>
  <si>
    <t>Beli Pipa Pvc + Keni</t>
  </si>
  <si>
    <t>Beli Semen 3 Sak + Ayakan</t>
  </si>
  <si>
    <t>Beli Aqua + Kue</t>
  </si>
  <si>
    <t>Pak Kamidi Ganti Bata Merah 250 Pcs</t>
  </si>
  <si>
    <t>Kas Masuk</t>
  </si>
  <si>
    <t>Beli Lampu Saklas Dan Stop Kontak + Kabel</t>
  </si>
  <si>
    <t>Beli Paku Cor 1 Box</t>
  </si>
  <si>
    <t>Pipa Instalasi 8 Pcs @ 12,500</t>
  </si>
  <si>
    <t>Beli Cat Pilox</t>
  </si>
  <si>
    <t>Bayar Tukang Listrik 3 Hari</t>
  </si>
  <si>
    <t>jariyah bapak iptu Bambang polres SDA</t>
  </si>
  <si>
    <t>beli kabel, terminal dan doradoss</t>
  </si>
  <si>
    <t>Beli Pasir 1 Dam</t>
  </si>
  <si>
    <t>Beli Sok Drat + T 1,5" X 3/4"</t>
  </si>
  <si>
    <t>Beli Scacel Dan Isolasi</t>
  </si>
  <si>
    <t>Beli Pipa Pvc 3" 2 Pcs Untuk Pembuangan + 2 Keni 3"</t>
  </si>
  <si>
    <t>Beli Bor Beton 6 Mm</t>
  </si>
  <si>
    <t>Beli Slang Timbang 10 M</t>
  </si>
  <si>
    <t>Beli Alumunium V12 6 Pcs Untuk Garis Shot</t>
  </si>
  <si>
    <t>Beli Oring Untuk Perbaikan Pompa Air</t>
  </si>
  <si>
    <t>Beli Peralatan Untuk Pasang Tandon Air</t>
  </si>
  <si>
    <t>Beli Ban Arco (Luar Dan Dalam)</t>
  </si>
  <si>
    <t>Beli Sambungan 1" &amp; 1,5"</t>
  </si>
  <si>
    <t>Beli Benang, Verlop + Sok 1/2"</t>
  </si>
  <si>
    <t>Beli Aqua 1 Galon</t>
  </si>
  <si>
    <t xml:space="preserve">Beli Pipa Pvc + Keni </t>
  </si>
  <si>
    <t>Beli Verlop 2" X 1/4"</t>
  </si>
  <si>
    <t>Beli Kabel Untuk Auto Tandon 10 M</t>
  </si>
  <si>
    <t>Bayar Tukang 5 Hari @160,000</t>
  </si>
  <si>
    <t>Bayar Tukang 4 Hari @150,000</t>
  </si>
  <si>
    <t>Bayar Tukang 6 Hari @150,000</t>
  </si>
  <si>
    <t>Bayar Tukang 6 Hari @140,000</t>
  </si>
  <si>
    <t>Sisa Uang Dari Pak Kamidi</t>
  </si>
  <si>
    <t>Beli Aqua Galon</t>
  </si>
  <si>
    <t>Beli Pvc 1.5" + Keni / An</t>
  </si>
  <si>
    <t>Beli Pvc 2" + Keni</t>
  </si>
  <si>
    <t>Jariyah Hamba Allah Dari Lampung Teman Mas Muslim</t>
  </si>
  <si>
    <t>Beli Kran Air + Kran</t>
  </si>
  <si>
    <t>Beli Kabel</t>
  </si>
  <si>
    <t>Beli Keni &amp; Semen 2 Sak</t>
  </si>
  <si>
    <t>Beli Saklar + Solasi</t>
  </si>
  <si>
    <t>Beli Kuku Macan</t>
  </si>
  <si>
    <t>Beli Selang Untuk Sambungan Kran + Cantolan</t>
  </si>
  <si>
    <t xml:space="preserve">Beli Alumunium V12 6 Pcs </t>
  </si>
  <si>
    <t>Beli Semen 1 Sak</t>
  </si>
  <si>
    <t>Bayar Tukang</t>
  </si>
  <si>
    <t>Jariyah Sujiwat</t>
  </si>
  <si>
    <t>Beli Salon Online Cod 2 Pcs</t>
  </si>
  <si>
    <t>Jariyah H wajito</t>
  </si>
  <si>
    <t>Jariyah Bpk Gatot</t>
  </si>
  <si>
    <t>Jariyah Bpk Andiek</t>
  </si>
  <si>
    <t>Jariyah Bapak Kamidi</t>
  </si>
  <si>
    <t>beli mix Salon</t>
  </si>
  <si>
    <t>Beli Material/Auto Tertil + Kabel Rsc</t>
  </si>
  <si>
    <t>Beli Mixer + Kebel + Jek</t>
  </si>
  <si>
    <t>Beli Besi + Gavalum Utk Frame Jam Digital</t>
  </si>
  <si>
    <t>Jariyah Bapak Tomo</t>
  </si>
  <si>
    <t>Pembuatan Ruangan Jam Digital + Ongkosnya</t>
  </si>
  <si>
    <t>Jariyah Ibu Etik Wijayanti</t>
  </si>
  <si>
    <t>Jariyah Bpk Supii</t>
  </si>
  <si>
    <t>Uang Rokok Bapak Sutaji + Pasang Dan Pindah Lampu</t>
  </si>
  <si>
    <t>Jariyah Ibu Susiani</t>
  </si>
  <si>
    <t>Jariyah Ibu Ismawati</t>
  </si>
  <si>
    <t>Jariyah Alm Bpk Saparin &amp; Alm Ibu Sehyah</t>
  </si>
  <si>
    <t>Jariyah Bpk Sugeng Prayitno</t>
  </si>
  <si>
    <t>Jariyah Alm Bpk Solihin + Alm Ibu Semi</t>
  </si>
  <si>
    <t>Hasil Dari Kotib Untuk Musholah</t>
  </si>
  <si>
    <t>Jariyah Hamba Allah Rt.04</t>
  </si>
  <si>
    <t>Jaruyah Bapak Tulus + Ibu Hartatik</t>
  </si>
  <si>
    <t>Jariyah Alm Bpk Tarmidi</t>
  </si>
  <si>
    <t>Bantuan Dari Ranting Nu Kemangsen</t>
  </si>
  <si>
    <t>Jariyak Kel Bpk Gatot</t>
  </si>
  <si>
    <t>Jariyah Ust Ali Murtadho</t>
  </si>
  <si>
    <t>Jariyah Hamba Allah</t>
  </si>
  <si>
    <t>Hail Kotak Infak Musholah</t>
  </si>
  <si>
    <t>Jariyah Ust Zaelani</t>
  </si>
  <si>
    <t>Beli Semen + Paku + Benang</t>
  </si>
  <si>
    <t>Beli Semen Granit 8 Sak</t>
  </si>
  <si>
    <t>Beli Semen Putih 5 Sak</t>
  </si>
  <si>
    <t>Beli Semen Granit 10 Sak @120,500</t>
  </si>
  <si>
    <t>Beli Pisau Granit</t>
  </si>
  <si>
    <t>Beli Isolasi 2 Pcs + Air Cleo 1 Dus</t>
  </si>
  <si>
    <t>Beli Semen Granit 19 Sak</t>
  </si>
  <si>
    <t>Beli Paku 1 Box</t>
  </si>
  <si>
    <t>Beli Granit Dinding 12 Box</t>
  </si>
  <si>
    <t>Kas Kotak Musholah</t>
  </si>
  <si>
    <t>Beli Semen 10 Sak</t>
  </si>
  <si>
    <t>Beli Semen Gresik 2 Sak</t>
  </si>
  <si>
    <t>Beli Granit Untuk Pilar Mihrab 2 Dus</t>
  </si>
  <si>
    <t>Beli Granit Dinding 11 Dus</t>
  </si>
  <si>
    <t>Beli List 8 Pcs @ 23,000</t>
  </si>
  <si>
    <t>Beli Semen Granit 2 Sak</t>
  </si>
  <si>
    <t>Beli Kopi 2 Pcs</t>
  </si>
  <si>
    <t>Jariyah Abah Totok</t>
  </si>
  <si>
    <t>Jariyah Alm Bpk Siswanto</t>
  </si>
  <si>
    <t>Kas Masuk Kotak Amal</t>
  </si>
  <si>
    <t>Beli travo utk perbaikan aplifier + ongkos</t>
  </si>
  <si>
    <t>No</t>
  </si>
  <si>
    <t>Tanggal</t>
  </si>
  <si>
    <t>Keterangan</t>
  </si>
  <si>
    <t>COA</t>
  </si>
  <si>
    <t>Debet</t>
  </si>
  <si>
    <t>Kredit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</si>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</sst>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yyyy\-mm\-dd;@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2" fillId="0" borderId="2" xfId="1" applyNumberFormat="1" applyFont="1" applyBorder="1"/>
    <xf numFmtId="164" fontId="2" fillId="0" borderId="1" xfId="1" applyNumberFormat="1" applyFont="1" applyBorder="1"/>
    <xf numFmtId="0" fontId="2" fillId="0" borderId="3" xfId="0" applyFont="1" applyBorder="1" applyAlignment="1">
      <alignment horizontal="center" vertical="center"/>
    </xf>
    <xf numFmtId="164" fontId="2" fillId="0" borderId="3" xfId="1" applyNumberFormat="1" applyFont="1" applyBorder="1"/>
    <xf numFmtId="0" fontId="2" fillId="0" borderId="4" xfId="0" applyFont="1" applyBorder="1" applyAlignment="1">
      <alignment horizontal="center" vertical="center"/>
    </xf>
    <xf numFmtId="164" fontId="0" fillId="0" borderId="3" xfId="1" applyNumberFormat="1" applyFont="1" applyBorder="1"/>
    <xf numFmtId="164" fontId="2" fillId="0" borderId="3" xfId="1" applyNumberFormat="1" applyFont="1" applyFill="1" applyBorder="1"/>
    <xf numFmtId="164" fontId="3" fillId="0" borderId="3" xfId="1" applyNumberFormat="1" applyFont="1" applyBorder="1"/>
    <xf numFmtId="0" fontId="0" fillId="0" borderId="3" xfId="0" applyBorder="1" applyAlignment="1">
      <alignment wrapText="1"/>
    </xf>
    <xf numFmtId="164" fontId="0" fillId="0" borderId="3" xfId="1" applyNumberFormat="1" applyFont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0" fontId="0" fillId="0" borderId="3" xfId="0" applyBorder="1"/>
    <xf numFmtId="164" fontId="0" fillId="0" borderId="4" xfId="1" applyNumberFormat="1" applyFont="1" applyBorder="1"/>
    <xf numFmtId="164" fontId="0" fillId="0" borderId="3" xfId="1" applyNumberFormat="1" applyFont="1" applyFill="1" applyBorder="1"/>
    <xf numFmtId="164" fontId="2" fillId="0" borderId="4" xfId="1" applyNumberFormat="1" applyFont="1" applyBorder="1"/>
    <xf numFmtId="164" fontId="2" fillId="0" borderId="2" xfId="1" applyNumberFormat="1" applyFont="1" applyFill="1" applyBorder="1"/>
    <xf numFmtId="164" fontId="2" fillId="2" borderId="2" xfId="1" applyNumberFormat="1" applyFont="1" applyFill="1" applyBorder="1"/>
    <xf numFmtId="164" fontId="2" fillId="2" borderId="3" xfId="1" applyNumberFormat="1" applyFont="1" applyFill="1" applyBorder="1"/>
    <xf numFmtId="165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32DB-AB43-45AF-A691-A70A58F26764}">
  <dimension ref="A1:G137"/>
  <sheetViews>
    <sheetView tabSelected="1" workbookViewId="0">
      <selection activeCell="G1" sqref="G1"/>
    </sheetView>
  </sheetViews>
  <sheetFormatPr defaultRowHeight="15" x14ac:dyDescent="0.25"/>
  <cols>
    <col min="1" max="1" width="4" bestFit="1" customWidth="1"/>
    <col min="2" max="2" width="20.42578125" customWidth="1"/>
    <col min="3" max="3" width="45.7109375" customWidth="1"/>
    <col min="4" max="4" width="12.85546875" bestFit="1" customWidth="1"/>
    <col min="5" max="7" width="11" bestFit="1" customWidth="1"/>
  </cols>
  <sheetData>
    <row r="1" spans="1:7" ht="15.75" thickBot="1" x14ac:dyDescent="0.3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</row>
    <row r="2" spans="1:7" x14ac:dyDescent="0.25">
      <c r="A2" s="1">
        <v>1</v>
      </c>
      <c r="B2" s="22">
        <v>45658</v>
      </c>
      <c r="C2" s="2" t="s">
        <v>0</v>
      </c>
      <c r="D2" s="3" t="s">
        <v>1</v>
      </c>
      <c r="E2" s="4">
        <v>8265400</v>
      </c>
      <c r="F2" s="5"/>
      <c r="G2" s="5">
        <f>E2-F2</f>
        <v>8265400</v>
      </c>
    </row>
    <row r="3" spans="1:7" x14ac:dyDescent="0.25">
      <c r="A3" s="6">
        <v>2</v>
      </c>
      <c r="B3" s="22">
        <v>45670</v>
      </c>
      <c r="C3" s="2" t="s">
        <v>2</v>
      </c>
      <c r="D3" s="3" t="s">
        <v>3</v>
      </c>
      <c r="E3" s="4"/>
      <c r="F3" s="7">
        <v>300000</v>
      </c>
      <c r="G3" s="7">
        <f>G2+E3-F3</f>
        <v>7965400</v>
      </c>
    </row>
    <row r="4" spans="1:7" x14ac:dyDescent="0.25">
      <c r="A4" s="6">
        <v>3</v>
      </c>
      <c r="B4" s="22">
        <v>45670</v>
      </c>
      <c r="C4" s="2" t="s">
        <v>4</v>
      </c>
      <c r="D4" s="3" t="s">
        <v>3</v>
      </c>
      <c r="E4" s="4"/>
      <c r="F4" s="7">
        <v>47000</v>
      </c>
      <c r="G4" s="7">
        <f t="shared" ref="G4:G67" si="0">G3+E4-F4</f>
        <v>7918400</v>
      </c>
    </row>
    <row r="5" spans="1:7" ht="15.75" thickBot="1" x14ac:dyDescent="0.3">
      <c r="A5" s="8">
        <v>4</v>
      </c>
      <c r="B5" s="22">
        <v>45670</v>
      </c>
      <c r="C5" s="2" t="s">
        <v>5</v>
      </c>
      <c r="D5" s="3" t="s">
        <v>6</v>
      </c>
      <c r="E5" s="4"/>
      <c r="F5" s="7">
        <v>23000</v>
      </c>
      <c r="G5" s="7">
        <f t="shared" si="0"/>
        <v>7895400</v>
      </c>
    </row>
    <row r="6" spans="1:7" x14ac:dyDescent="0.25">
      <c r="A6" s="1">
        <v>5</v>
      </c>
      <c r="B6" s="22">
        <v>45670</v>
      </c>
      <c r="C6" s="2" t="s">
        <v>7</v>
      </c>
      <c r="D6" s="3" t="s">
        <v>8</v>
      </c>
      <c r="E6" s="7"/>
      <c r="F6" s="7">
        <v>8500000</v>
      </c>
      <c r="G6" s="7">
        <f t="shared" si="0"/>
        <v>-604600</v>
      </c>
    </row>
    <row r="7" spans="1:7" x14ac:dyDescent="0.25">
      <c r="A7" s="6">
        <v>6</v>
      </c>
      <c r="B7" s="22">
        <v>45674</v>
      </c>
      <c r="C7" s="2" t="s">
        <v>9</v>
      </c>
      <c r="D7" s="3" t="s">
        <v>10</v>
      </c>
      <c r="E7" s="4">
        <v>200000</v>
      </c>
      <c r="F7" s="7"/>
      <c r="G7" s="7">
        <f t="shared" si="0"/>
        <v>-404600</v>
      </c>
    </row>
    <row r="8" spans="1:7" x14ac:dyDescent="0.25">
      <c r="A8" s="6">
        <v>7</v>
      </c>
      <c r="B8" s="22">
        <v>45681</v>
      </c>
      <c r="C8" s="2" t="s">
        <v>9</v>
      </c>
      <c r="D8" s="3" t="s">
        <v>10</v>
      </c>
      <c r="E8" s="4">
        <v>200000</v>
      </c>
      <c r="F8" s="7"/>
      <c r="G8" s="7">
        <f t="shared" si="0"/>
        <v>-204600</v>
      </c>
    </row>
    <row r="9" spans="1:7" ht="15.75" thickBot="1" x14ac:dyDescent="0.3">
      <c r="A9" s="8">
        <v>8</v>
      </c>
      <c r="B9" s="22">
        <v>45685</v>
      </c>
      <c r="C9" s="2" t="s">
        <v>11</v>
      </c>
      <c r="D9" s="3" t="s">
        <v>10</v>
      </c>
      <c r="E9" s="4">
        <v>300000</v>
      </c>
      <c r="F9" s="7"/>
      <c r="G9" s="7">
        <f t="shared" si="0"/>
        <v>95400</v>
      </c>
    </row>
    <row r="10" spans="1:7" x14ac:dyDescent="0.25">
      <c r="A10" s="1">
        <v>9</v>
      </c>
      <c r="B10" s="22">
        <v>45695</v>
      </c>
      <c r="C10" s="2" t="s">
        <v>9</v>
      </c>
      <c r="D10" s="3" t="s">
        <v>10</v>
      </c>
      <c r="E10" s="4">
        <v>200000</v>
      </c>
      <c r="F10" s="7"/>
      <c r="G10" s="7">
        <f t="shared" si="0"/>
        <v>295400</v>
      </c>
    </row>
    <row r="11" spans="1:7" x14ac:dyDescent="0.25">
      <c r="A11" s="6">
        <v>10</v>
      </c>
      <c r="B11" s="22">
        <v>45696</v>
      </c>
      <c r="C11" s="2" t="s">
        <v>9</v>
      </c>
      <c r="D11" s="3" t="s">
        <v>10</v>
      </c>
      <c r="E11" s="4">
        <v>200000</v>
      </c>
      <c r="F11" s="7"/>
      <c r="G11" s="7">
        <f t="shared" si="0"/>
        <v>495400</v>
      </c>
    </row>
    <row r="12" spans="1:7" x14ac:dyDescent="0.25">
      <c r="A12" s="6">
        <v>11</v>
      </c>
      <c r="B12" s="22">
        <v>45696</v>
      </c>
      <c r="C12" s="2" t="s">
        <v>11</v>
      </c>
      <c r="D12" s="3" t="s">
        <v>10</v>
      </c>
      <c r="E12" s="4">
        <v>300000</v>
      </c>
      <c r="F12" s="7"/>
      <c r="G12" s="7">
        <f t="shared" si="0"/>
        <v>795400</v>
      </c>
    </row>
    <row r="13" spans="1:7" ht="15.75" thickBot="1" x14ac:dyDescent="0.3">
      <c r="A13" s="8">
        <v>12</v>
      </c>
      <c r="B13" s="22">
        <v>45699</v>
      </c>
      <c r="C13" s="2" t="s">
        <v>12</v>
      </c>
      <c r="D13" s="3" t="s">
        <v>10</v>
      </c>
      <c r="E13" s="4">
        <v>10000000</v>
      </c>
      <c r="F13" s="7"/>
      <c r="G13" s="7">
        <f t="shared" si="0"/>
        <v>10795400</v>
      </c>
    </row>
    <row r="14" spans="1:7" x14ac:dyDescent="0.25">
      <c r="A14" s="1">
        <v>13</v>
      </c>
      <c r="B14" s="22">
        <v>45700</v>
      </c>
      <c r="C14" s="2" t="s">
        <v>13</v>
      </c>
      <c r="D14" s="3" t="s">
        <v>3</v>
      </c>
      <c r="E14" s="4"/>
      <c r="F14" s="7">
        <v>873000</v>
      </c>
      <c r="G14" s="7">
        <f t="shared" si="0"/>
        <v>9922400</v>
      </c>
    </row>
    <row r="15" spans="1:7" x14ac:dyDescent="0.25">
      <c r="A15" s="6">
        <v>14</v>
      </c>
      <c r="B15" s="22">
        <v>45700</v>
      </c>
      <c r="C15" s="2" t="s">
        <v>14</v>
      </c>
      <c r="D15" s="3" t="s">
        <v>3</v>
      </c>
      <c r="E15" s="4"/>
      <c r="F15" s="7">
        <v>189000</v>
      </c>
      <c r="G15" s="7">
        <f t="shared" si="0"/>
        <v>9733400</v>
      </c>
    </row>
    <row r="16" spans="1:7" x14ac:dyDescent="0.25">
      <c r="A16" s="6">
        <v>15</v>
      </c>
      <c r="B16" s="22">
        <v>45700</v>
      </c>
      <c r="C16" s="2" t="s">
        <v>15</v>
      </c>
      <c r="D16" s="3" t="s">
        <v>6</v>
      </c>
      <c r="E16" s="4"/>
      <c r="F16" s="7">
        <v>44000</v>
      </c>
      <c r="G16" s="7">
        <f t="shared" si="0"/>
        <v>9689400</v>
      </c>
    </row>
    <row r="17" spans="1:7" ht="15.75" thickBot="1" x14ac:dyDescent="0.3">
      <c r="A17" s="8">
        <v>16</v>
      </c>
      <c r="B17" s="22">
        <v>45702</v>
      </c>
      <c r="C17" s="2" t="s">
        <v>16</v>
      </c>
      <c r="D17" s="3" t="s">
        <v>17</v>
      </c>
      <c r="E17" s="4">
        <v>200000</v>
      </c>
      <c r="F17" s="7"/>
      <c r="G17" s="7">
        <f t="shared" si="0"/>
        <v>9889400</v>
      </c>
    </row>
    <row r="18" spans="1:7" x14ac:dyDescent="0.25">
      <c r="A18" s="1">
        <v>17</v>
      </c>
      <c r="B18" s="22">
        <v>45702</v>
      </c>
      <c r="C18" s="2" t="s">
        <v>9</v>
      </c>
      <c r="D18" s="3" t="s">
        <v>10</v>
      </c>
      <c r="E18" s="7">
        <v>200000</v>
      </c>
      <c r="F18" s="7"/>
      <c r="G18" s="7">
        <f t="shared" si="0"/>
        <v>10089400</v>
      </c>
    </row>
    <row r="19" spans="1:7" x14ac:dyDescent="0.25">
      <c r="A19" s="6">
        <v>18</v>
      </c>
      <c r="B19" s="22">
        <v>45702</v>
      </c>
      <c r="C19" s="3" t="s">
        <v>18</v>
      </c>
      <c r="D19" s="3" t="s">
        <v>3</v>
      </c>
      <c r="E19" s="9"/>
      <c r="F19" s="9">
        <v>1299000</v>
      </c>
      <c r="G19" s="7">
        <f t="shared" si="0"/>
        <v>8790400</v>
      </c>
    </row>
    <row r="20" spans="1:7" x14ac:dyDescent="0.25">
      <c r="A20" s="6">
        <v>19</v>
      </c>
      <c r="B20" s="22">
        <v>45702</v>
      </c>
      <c r="C20" s="3" t="s">
        <v>19</v>
      </c>
      <c r="D20" s="3" t="s">
        <v>3</v>
      </c>
      <c r="E20" s="7"/>
      <c r="F20" s="7">
        <v>15000</v>
      </c>
      <c r="G20" s="7">
        <f t="shared" si="0"/>
        <v>8775400</v>
      </c>
    </row>
    <row r="21" spans="1:7" ht="15.75" thickBot="1" x14ac:dyDescent="0.3">
      <c r="A21" s="8">
        <v>20</v>
      </c>
      <c r="B21" s="22">
        <v>45702</v>
      </c>
      <c r="C21" s="3" t="s">
        <v>20</v>
      </c>
      <c r="D21" s="3" t="s">
        <v>3</v>
      </c>
      <c r="E21" s="10"/>
      <c r="F21" s="10">
        <v>100000</v>
      </c>
      <c r="G21" s="10">
        <f t="shared" si="0"/>
        <v>8675400</v>
      </c>
    </row>
    <row r="22" spans="1:7" x14ac:dyDescent="0.25">
      <c r="A22" s="1">
        <v>21</v>
      </c>
      <c r="B22" s="23">
        <v>45703</v>
      </c>
      <c r="C22" s="3" t="s">
        <v>21</v>
      </c>
      <c r="D22" s="3" t="s">
        <v>3</v>
      </c>
      <c r="E22" s="7"/>
      <c r="F22" s="7">
        <v>66000</v>
      </c>
      <c r="G22" s="7">
        <f t="shared" si="0"/>
        <v>8609400</v>
      </c>
    </row>
    <row r="23" spans="1:7" x14ac:dyDescent="0.25">
      <c r="A23" s="6">
        <v>22</v>
      </c>
      <c r="B23" s="23">
        <v>45703</v>
      </c>
      <c r="C23" s="3" t="s">
        <v>22</v>
      </c>
      <c r="D23" s="3" t="s">
        <v>8</v>
      </c>
      <c r="E23" s="7"/>
      <c r="F23" s="7">
        <v>450000</v>
      </c>
      <c r="G23" s="7">
        <f t="shared" si="0"/>
        <v>8159400</v>
      </c>
    </row>
    <row r="24" spans="1:7" x14ac:dyDescent="0.25">
      <c r="A24" s="6">
        <v>23</v>
      </c>
      <c r="B24" s="23">
        <v>45704</v>
      </c>
      <c r="C24" s="3" t="s">
        <v>23</v>
      </c>
      <c r="D24" s="3" t="s">
        <v>10</v>
      </c>
      <c r="E24" s="7">
        <v>1000000</v>
      </c>
      <c r="F24" s="7"/>
      <c r="G24" s="7">
        <f t="shared" si="0"/>
        <v>9159400</v>
      </c>
    </row>
    <row r="25" spans="1:7" ht="15.75" thickBot="1" x14ac:dyDescent="0.3">
      <c r="A25" s="8">
        <v>24</v>
      </c>
      <c r="B25" s="23">
        <v>45702</v>
      </c>
      <c r="C25" s="3" t="s">
        <v>24</v>
      </c>
      <c r="D25" s="3" t="s">
        <v>3</v>
      </c>
      <c r="E25" s="7"/>
      <c r="F25" s="7">
        <v>61450</v>
      </c>
      <c r="G25" s="7">
        <f t="shared" si="0"/>
        <v>9097950</v>
      </c>
    </row>
    <row r="26" spans="1:7" x14ac:dyDescent="0.25">
      <c r="A26" s="1">
        <v>25</v>
      </c>
      <c r="B26" s="23">
        <v>45706</v>
      </c>
      <c r="C26" s="3" t="s">
        <v>25</v>
      </c>
      <c r="D26" s="3" t="s">
        <v>3</v>
      </c>
      <c r="E26" s="7"/>
      <c r="F26" s="10">
        <v>1800000</v>
      </c>
      <c r="G26" s="7">
        <f t="shared" si="0"/>
        <v>7297950</v>
      </c>
    </row>
    <row r="27" spans="1:7" x14ac:dyDescent="0.25">
      <c r="A27" s="6">
        <v>26</v>
      </c>
      <c r="B27" s="23">
        <v>45706</v>
      </c>
      <c r="C27" s="3" t="s">
        <v>26</v>
      </c>
      <c r="D27" s="3" t="s">
        <v>3</v>
      </c>
      <c r="E27" s="7"/>
      <c r="F27" s="10">
        <v>60000</v>
      </c>
      <c r="G27" s="7">
        <f t="shared" si="0"/>
        <v>7237950</v>
      </c>
    </row>
    <row r="28" spans="1:7" x14ac:dyDescent="0.25">
      <c r="A28" s="6">
        <v>27</v>
      </c>
      <c r="B28" s="23">
        <v>45706</v>
      </c>
      <c r="C28" s="3" t="s">
        <v>27</v>
      </c>
      <c r="D28" s="3" t="s">
        <v>3</v>
      </c>
      <c r="E28" s="7"/>
      <c r="F28" s="10">
        <v>43000</v>
      </c>
      <c r="G28" s="11">
        <f t="shared" si="0"/>
        <v>7194950</v>
      </c>
    </row>
    <row r="29" spans="1:7" ht="15.75" thickBot="1" x14ac:dyDescent="0.3">
      <c r="A29" s="8">
        <v>28</v>
      </c>
      <c r="B29" s="23">
        <v>45706</v>
      </c>
      <c r="C29" s="3" t="s">
        <v>28</v>
      </c>
      <c r="D29" s="3" t="s">
        <v>3</v>
      </c>
      <c r="E29" s="7"/>
      <c r="F29" s="10">
        <v>200000</v>
      </c>
      <c r="G29" s="11">
        <f t="shared" si="0"/>
        <v>6994950</v>
      </c>
    </row>
    <row r="30" spans="1:7" x14ac:dyDescent="0.25">
      <c r="A30" s="1">
        <v>29</v>
      </c>
      <c r="B30" s="23">
        <v>45706</v>
      </c>
      <c r="C30" s="3" t="s">
        <v>29</v>
      </c>
      <c r="D30" s="3" t="s">
        <v>3</v>
      </c>
      <c r="E30" s="7"/>
      <c r="F30" s="10">
        <v>15000</v>
      </c>
      <c r="G30" s="11">
        <f t="shared" si="0"/>
        <v>6979950</v>
      </c>
    </row>
    <row r="31" spans="1:7" x14ac:dyDescent="0.25">
      <c r="A31" s="6">
        <v>30</v>
      </c>
      <c r="B31" s="23">
        <v>45707</v>
      </c>
      <c r="C31" s="3" t="s">
        <v>30</v>
      </c>
      <c r="D31" s="3" t="s">
        <v>3</v>
      </c>
      <c r="E31" s="7"/>
      <c r="F31" s="10">
        <v>25000</v>
      </c>
      <c r="G31" s="11">
        <f t="shared" si="0"/>
        <v>6954950</v>
      </c>
    </row>
    <row r="32" spans="1:7" x14ac:dyDescent="0.25">
      <c r="A32" s="6">
        <v>31</v>
      </c>
      <c r="B32" s="23">
        <v>45707</v>
      </c>
      <c r="C32" s="12" t="s">
        <v>31</v>
      </c>
      <c r="D32" s="3" t="s">
        <v>3</v>
      </c>
      <c r="E32" s="13"/>
      <c r="F32" s="13">
        <v>150000</v>
      </c>
      <c r="G32" s="14">
        <f t="shared" si="0"/>
        <v>6804950</v>
      </c>
    </row>
    <row r="33" spans="1:7" ht="15.75" thickBot="1" x14ac:dyDescent="0.3">
      <c r="A33" s="8">
        <v>32</v>
      </c>
      <c r="B33" s="23">
        <v>45707</v>
      </c>
      <c r="C33" s="15" t="s">
        <v>2</v>
      </c>
      <c r="D33" s="3" t="s">
        <v>3</v>
      </c>
      <c r="E33" s="9"/>
      <c r="F33" s="9">
        <v>300000</v>
      </c>
      <c r="G33" s="11">
        <f t="shared" si="0"/>
        <v>6504950</v>
      </c>
    </row>
    <row r="34" spans="1:7" x14ac:dyDescent="0.25">
      <c r="A34" s="1">
        <v>33</v>
      </c>
      <c r="B34" s="23">
        <v>45707</v>
      </c>
      <c r="C34" s="15" t="s">
        <v>32</v>
      </c>
      <c r="D34" s="3" t="s">
        <v>3</v>
      </c>
      <c r="E34" s="9"/>
      <c r="F34" s="9">
        <v>30000</v>
      </c>
      <c r="G34" s="11">
        <f t="shared" si="0"/>
        <v>6474950</v>
      </c>
    </row>
    <row r="35" spans="1:7" x14ac:dyDescent="0.25">
      <c r="A35" s="6">
        <v>34</v>
      </c>
      <c r="B35" s="23">
        <v>45707</v>
      </c>
      <c r="C35" s="15" t="s">
        <v>33</v>
      </c>
      <c r="D35" s="3" t="s">
        <v>3</v>
      </c>
      <c r="E35" s="9"/>
      <c r="F35" s="9">
        <v>823000</v>
      </c>
      <c r="G35" s="7">
        <f t="shared" si="0"/>
        <v>5651950</v>
      </c>
    </row>
    <row r="36" spans="1:7" x14ac:dyDescent="0.25">
      <c r="A36" s="6">
        <v>35</v>
      </c>
      <c r="B36" s="24">
        <v>45708</v>
      </c>
      <c r="C36" s="2" t="s">
        <v>9</v>
      </c>
      <c r="D36" s="3" t="s">
        <v>10</v>
      </c>
      <c r="E36" s="9">
        <v>500000</v>
      </c>
      <c r="F36" s="9"/>
      <c r="G36" s="7">
        <f t="shared" si="0"/>
        <v>6151950</v>
      </c>
    </row>
    <row r="37" spans="1:7" ht="15.75" thickBot="1" x14ac:dyDescent="0.3">
      <c r="A37" s="8">
        <v>36</v>
      </c>
      <c r="B37" s="24">
        <v>45708</v>
      </c>
      <c r="C37" s="15" t="s">
        <v>34</v>
      </c>
      <c r="D37" s="3" t="s">
        <v>3</v>
      </c>
      <c r="E37" s="9"/>
      <c r="F37" s="9">
        <v>105000</v>
      </c>
      <c r="G37" s="7">
        <f t="shared" si="0"/>
        <v>6046950</v>
      </c>
    </row>
    <row r="38" spans="1:7" x14ac:dyDescent="0.25">
      <c r="A38" s="1">
        <v>37</v>
      </c>
      <c r="B38" s="24">
        <v>45708</v>
      </c>
      <c r="C38" s="15" t="s">
        <v>35</v>
      </c>
      <c r="D38" s="3" t="s">
        <v>3</v>
      </c>
      <c r="E38" s="9"/>
      <c r="F38" s="9">
        <v>21000</v>
      </c>
      <c r="G38" s="7">
        <f t="shared" si="0"/>
        <v>6025950</v>
      </c>
    </row>
    <row r="39" spans="1:7" x14ac:dyDescent="0.25">
      <c r="A39" s="6">
        <v>38</v>
      </c>
      <c r="B39" s="24">
        <v>45708</v>
      </c>
      <c r="C39" s="15" t="s">
        <v>36</v>
      </c>
      <c r="D39" s="3" t="s">
        <v>3</v>
      </c>
      <c r="E39" s="9"/>
      <c r="F39" s="9">
        <v>18000</v>
      </c>
      <c r="G39" s="7">
        <f t="shared" si="0"/>
        <v>6007950</v>
      </c>
    </row>
    <row r="40" spans="1:7" x14ac:dyDescent="0.25">
      <c r="A40" s="6">
        <v>39</v>
      </c>
      <c r="B40" s="24">
        <v>45708</v>
      </c>
      <c r="C40" s="15" t="s">
        <v>37</v>
      </c>
      <c r="D40" s="3" t="s">
        <v>6</v>
      </c>
      <c r="E40" s="9"/>
      <c r="F40" s="9">
        <v>19000</v>
      </c>
      <c r="G40" s="7">
        <f t="shared" si="0"/>
        <v>5988950</v>
      </c>
    </row>
    <row r="41" spans="1:7" ht="15.75" thickBot="1" x14ac:dyDescent="0.3">
      <c r="A41" s="8">
        <v>40</v>
      </c>
      <c r="B41" s="24">
        <v>45709</v>
      </c>
      <c r="C41" s="15" t="s">
        <v>38</v>
      </c>
      <c r="D41" s="3" t="s">
        <v>3</v>
      </c>
      <c r="E41" s="9"/>
      <c r="F41" s="9">
        <v>117000</v>
      </c>
      <c r="G41" s="7">
        <f t="shared" si="0"/>
        <v>5871950</v>
      </c>
    </row>
    <row r="42" spans="1:7" x14ac:dyDescent="0.25">
      <c r="A42" s="1">
        <v>41</v>
      </c>
      <c r="B42" s="24">
        <v>45709</v>
      </c>
      <c r="C42" s="15" t="s">
        <v>39</v>
      </c>
      <c r="D42" s="3" t="s">
        <v>3</v>
      </c>
      <c r="E42" s="9"/>
      <c r="F42" s="9">
        <v>14000</v>
      </c>
      <c r="G42" s="7">
        <f t="shared" si="0"/>
        <v>5857950</v>
      </c>
    </row>
    <row r="43" spans="1:7" x14ac:dyDescent="0.25">
      <c r="A43" s="6">
        <v>42</v>
      </c>
      <c r="B43" s="24">
        <v>45709</v>
      </c>
      <c r="C43" s="15" t="s">
        <v>40</v>
      </c>
      <c r="D43" s="3" t="s">
        <v>3</v>
      </c>
      <c r="E43" s="9"/>
      <c r="F43" s="9">
        <v>70000</v>
      </c>
      <c r="G43" s="7">
        <f t="shared" si="0"/>
        <v>5787950</v>
      </c>
    </row>
    <row r="44" spans="1:7" x14ac:dyDescent="0.25">
      <c r="A44" s="6">
        <v>43</v>
      </c>
      <c r="B44" s="24">
        <v>45710</v>
      </c>
      <c r="C44" s="15" t="s">
        <v>41</v>
      </c>
      <c r="D44" s="3" t="s">
        <v>8</v>
      </c>
      <c r="E44" s="9"/>
      <c r="F44" s="9">
        <v>800000</v>
      </c>
      <c r="G44" s="7">
        <f t="shared" si="0"/>
        <v>4987950</v>
      </c>
    </row>
    <row r="45" spans="1:7" ht="15.75" thickBot="1" x14ac:dyDescent="0.3">
      <c r="A45" s="8">
        <v>44</v>
      </c>
      <c r="B45" s="24">
        <v>45710</v>
      </c>
      <c r="C45" s="15" t="s">
        <v>42</v>
      </c>
      <c r="D45" s="3" t="s">
        <v>8</v>
      </c>
      <c r="E45" s="7"/>
      <c r="F45" s="10">
        <v>600000</v>
      </c>
      <c r="G45" s="7">
        <f t="shared" si="0"/>
        <v>4387950</v>
      </c>
    </row>
    <row r="46" spans="1:7" x14ac:dyDescent="0.25">
      <c r="A46" s="1">
        <v>45</v>
      </c>
      <c r="B46" s="24">
        <v>45710</v>
      </c>
      <c r="C46" s="15" t="s">
        <v>43</v>
      </c>
      <c r="D46" s="3" t="s">
        <v>8</v>
      </c>
      <c r="E46" s="7"/>
      <c r="F46" s="10">
        <v>900000</v>
      </c>
      <c r="G46" s="7">
        <f t="shared" si="0"/>
        <v>3487950</v>
      </c>
    </row>
    <row r="47" spans="1:7" x14ac:dyDescent="0.25">
      <c r="A47" s="6">
        <v>46</v>
      </c>
      <c r="B47" s="24">
        <v>45710</v>
      </c>
      <c r="C47" s="15" t="s">
        <v>44</v>
      </c>
      <c r="D47" s="3" t="s">
        <v>8</v>
      </c>
      <c r="E47" s="7"/>
      <c r="F47" s="10">
        <v>840000</v>
      </c>
      <c r="G47" s="7">
        <f t="shared" si="0"/>
        <v>2647950</v>
      </c>
    </row>
    <row r="48" spans="1:7" x14ac:dyDescent="0.25">
      <c r="A48" s="6">
        <v>47</v>
      </c>
      <c r="B48" s="23">
        <v>45712</v>
      </c>
      <c r="C48" s="3" t="s">
        <v>45</v>
      </c>
      <c r="D48" s="3" t="s">
        <v>17</v>
      </c>
      <c r="E48" s="7">
        <v>40000</v>
      </c>
      <c r="F48" s="10"/>
      <c r="G48" s="7">
        <f t="shared" si="0"/>
        <v>2687950</v>
      </c>
    </row>
    <row r="49" spans="1:7" ht="15.75" thickBot="1" x14ac:dyDescent="0.3">
      <c r="A49" s="8">
        <v>48</v>
      </c>
      <c r="B49" s="23">
        <v>45712</v>
      </c>
      <c r="C49" s="15" t="s">
        <v>46</v>
      </c>
      <c r="D49" s="3" t="s">
        <v>6</v>
      </c>
      <c r="E49" s="16"/>
      <c r="F49" s="9">
        <v>19000</v>
      </c>
      <c r="G49" s="7">
        <f t="shared" si="0"/>
        <v>2668950</v>
      </c>
    </row>
    <row r="50" spans="1:7" x14ac:dyDescent="0.25">
      <c r="A50" s="1">
        <v>49</v>
      </c>
      <c r="B50" s="23">
        <v>45712</v>
      </c>
      <c r="C50" s="15" t="s">
        <v>47</v>
      </c>
      <c r="D50" s="3" t="s">
        <v>3</v>
      </c>
      <c r="E50" s="16"/>
      <c r="F50" s="9">
        <v>186000</v>
      </c>
      <c r="G50" s="7">
        <f t="shared" si="0"/>
        <v>2482950</v>
      </c>
    </row>
    <row r="51" spans="1:7" x14ac:dyDescent="0.25">
      <c r="A51" s="6">
        <v>50</v>
      </c>
      <c r="B51" s="23">
        <v>45712</v>
      </c>
      <c r="C51" s="3" t="s">
        <v>48</v>
      </c>
      <c r="D51" s="3" t="s">
        <v>3</v>
      </c>
      <c r="E51" s="7"/>
      <c r="F51" s="10">
        <v>75000</v>
      </c>
      <c r="G51" s="7">
        <f t="shared" si="0"/>
        <v>2407950</v>
      </c>
    </row>
    <row r="52" spans="1:7" x14ac:dyDescent="0.25">
      <c r="A52" s="6">
        <v>51</v>
      </c>
      <c r="B52" s="23">
        <v>45713</v>
      </c>
      <c r="C52" s="3" t="s">
        <v>49</v>
      </c>
      <c r="D52" s="3" t="s">
        <v>10</v>
      </c>
      <c r="E52" s="7">
        <v>1500000</v>
      </c>
      <c r="F52" s="10"/>
      <c r="G52" s="7">
        <f t="shared" si="0"/>
        <v>3907950</v>
      </c>
    </row>
    <row r="53" spans="1:7" ht="15.75" thickBot="1" x14ac:dyDescent="0.3">
      <c r="A53" s="8">
        <v>52</v>
      </c>
      <c r="B53" s="23">
        <v>45713</v>
      </c>
      <c r="C53" s="3" t="s">
        <v>50</v>
      </c>
      <c r="D53" s="3" t="s">
        <v>3</v>
      </c>
      <c r="E53" s="7"/>
      <c r="F53" s="10">
        <v>74000</v>
      </c>
      <c r="G53" s="7">
        <f t="shared" si="0"/>
        <v>3833950</v>
      </c>
    </row>
    <row r="54" spans="1:7" x14ac:dyDescent="0.25">
      <c r="A54" s="1">
        <v>53</v>
      </c>
      <c r="B54" s="23">
        <v>45714</v>
      </c>
      <c r="C54" s="3" t="s">
        <v>51</v>
      </c>
      <c r="D54" s="3" t="s">
        <v>3</v>
      </c>
      <c r="E54" s="7"/>
      <c r="F54" s="10">
        <v>50000</v>
      </c>
      <c r="G54" s="7">
        <f t="shared" si="0"/>
        <v>3783950</v>
      </c>
    </row>
    <row r="55" spans="1:7" x14ac:dyDescent="0.25">
      <c r="A55" s="6">
        <v>54</v>
      </c>
      <c r="B55" s="23">
        <v>45714</v>
      </c>
      <c r="C55" s="3" t="s">
        <v>52</v>
      </c>
      <c r="D55" s="3" t="s">
        <v>3</v>
      </c>
      <c r="E55" s="7"/>
      <c r="F55" s="10">
        <v>125000</v>
      </c>
      <c r="G55" s="7">
        <f t="shared" si="0"/>
        <v>3658950</v>
      </c>
    </row>
    <row r="56" spans="1:7" x14ac:dyDescent="0.25">
      <c r="A56" s="6">
        <v>55</v>
      </c>
      <c r="B56" s="23">
        <v>45715</v>
      </c>
      <c r="C56" s="3" t="s">
        <v>53</v>
      </c>
      <c r="D56" s="3" t="s">
        <v>3</v>
      </c>
      <c r="E56" s="7"/>
      <c r="F56" s="10">
        <v>40500</v>
      </c>
      <c r="G56" s="7">
        <f t="shared" si="0"/>
        <v>3618450</v>
      </c>
    </row>
    <row r="57" spans="1:7" ht="15.75" thickBot="1" x14ac:dyDescent="0.3">
      <c r="A57" s="8">
        <v>56</v>
      </c>
      <c r="B57" s="23">
        <v>45715</v>
      </c>
      <c r="C57" s="3" t="s">
        <v>54</v>
      </c>
      <c r="D57" s="3" t="s">
        <v>3</v>
      </c>
      <c r="E57" s="7"/>
      <c r="F57" s="10">
        <v>25000</v>
      </c>
      <c r="G57" s="7">
        <f t="shared" si="0"/>
        <v>3593450</v>
      </c>
    </row>
    <row r="58" spans="1:7" x14ac:dyDescent="0.25">
      <c r="A58" s="1">
        <v>57</v>
      </c>
      <c r="B58" s="23">
        <v>45715</v>
      </c>
      <c r="C58" s="3" t="s">
        <v>55</v>
      </c>
      <c r="D58" s="3" t="s">
        <v>3</v>
      </c>
      <c r="E58" s="7"/>
      <c r="F58" s="10">
        <v>28000</v>
      </c>
      <c r="G58" s="7">
        <f t="shared" si="0"/>
        <v>3565450</v>
      </c>
    </row>
    <row r="59" spans="1:7" x14ac:dyDescent="0.25">
      <c r="A59" s="6">
        <v>58</v>
      </c>
      <c r="B59" s="23">
        <v>45715</v>
      </c>
      <c r="C59" s="3" t="s">
        <v>56</v>
      </c>
      <c r="D59" s="3" t="s">
        <v>3</v>
      </c>
      <c r="E59" s="7"/>
      <c r="F59" s="10">
        <v>100000</v>
      </c>
      <c r="G59" s="7">
        <f t="shared" si="0"/>
        <v>3465450</v>
      </c>
    </row>
    <row r="60" spans="1:7" x14ac:dyDescent="0.25">
      <c r="A60" s="6">
        <v>59</v>
      </c>
      <c r="B60" s="23">
        <v>45715</v>
      </c>
      <c r="C60" s="3" t="s">
        <v>57</v>
      </c>
      <c r="D60" s="3" t="s">
        <v>3</v>
      </c>
      <c r="E60" s="7"/>
      <c r="F60" s="10">
        <v>60000</v>
      </c>
      <c r="G60" s="7">
        <f t="shared" si="0"/>
        <v>3405450</v>
      </c>
    </row>
    <row r="61" spans="1:7" ht="15.75" thickBot="1" x14ac:dyDescent="0.3">
      <c r="A61" s="8">
        <v>60</v>
      </c>
      <c r="B61" s="23">
        <v>45715</v>
      </c>
      <c r="C61" s="3" t="s">
        <v>58</v>
      </c>
      <c r="D61" s="3" t="s">
        <v>8</v>
      </c>
      <c r="E61" s="7"/>
      <c r="F61" s="10">
        <v>1500000</v>
      </c>
      <c r="G61" s="7">
        <f t="shared" si="0"/>
        <v>1905450</v>
      </c>
    </row>
    <row r="62" spans="1:7" x14ac:dyDescent="0.25">
      <c r="A62" s="1">
        <v>61</v>
      </c>
      <c r="B62" s="23">
        <v>45716</v>
      </c>
      <c r="C62" s="3" t="s">
        <v>59</v>
      </c>
      <c r="D62" s="3" t="s">
        <v>10</v>
      </c>
      <c r="E62" s="7">
        <v>100000</v>
      </c>
      <c r="F62" s="10"/>
      <c r="G62" s="7">
        <f t="shared" si="0"/>
        <v>2005450</v>
      </c>
    </row>
    <row r="63" spans="1:7" x14ac:dyDescent="0.25">
      <c r="A63" s="6">
        <v>62</v>
      </c>
      <c r="B63" s="23">
        <v>45717</v>
      </c>
      <c r="C63" s="3" t="s">
        <v>60</v>
      </c>
      <c r="D63" s="3" t="s">
        <v>3</v>
      </c>
      <c r="E63" s="7"/>
      <c r="F63" s="10">
        <v>699500</v>
      </c>
      <c r="G63" s="7">
        <f t="shared" si="0"/>
        <v>1305950</v>
      </c>
    </row>
    <row r="64" spans="1:7" x14ac:dyDescent="0.25">
      <c r="A64" s="6">
        <v>63</v>
      </c>
      <c r="B64" s="23">
        <v>45737</v>
      </c>
      <c r="C64" s="3" t="s">
        <v>61</v>
      </c>
      <c r="D64" s="3" t="s">
        <v>10</v>
      </c>
      <c r="E64" s="7">
        <v>500000</v>
      </c>
      <c r="F64" s="10"/>
      <c r="G64" s="7">
        <f t="shared" si="0"/>
        <v>1805950</v>
      </c>
    </row>
    <row r="65" spans="1:7" ht="15.75" thickBot="1" x14ac:dyDescent="0.3">
      <c r="A65" s="8">
        <v>64</v>
      </c>
      <c r="B65" s="23">
        <v>45737</v>
      </c>
      <c r="C65" s="3" t="s">
        <v>62</v>
      </c>
      <c r="D65" s="3" t="s">
        <v>10</v>
      </c>
      <c r="E65" s="7">
        <v>300000</v>
      </c>
      <c r="F65" s="10"/>
      <c r="G65" s="7">
        <f t="shared" si="0"/>
        <v>2105950</v>
      </c>
    </row>
    <row r="66" spans="1:7" x14ac:dyDescent="0.25">
      <c r="A66" s="1">
        <v>65</v>
      </c>
      <c r="B66" s="23">
        <v>45737</v>
      </c>
      <c r="C66" s="3" t="s">
        <v>63</v>
      </c>
      <c r="D66" s="3" t="s">
        <v>10</v>
      </c>
      <c r="E66" s="7">
        <v>500000</v>
      </c>
      <c r="F66" s="10"/>
      <c r="G66" s="7">
        <f t="shared" si="0"/>
        <v>2605950</v>
      </c>
    </row>
    <row r="67" spans="1:7" x14ac:dyDescent="0.25">
      <c r="A67" s="6">
        <v>66</v>
      </c>
      <c r="B67" s="23">
        <v>45737</v>
      </c>
      <c r="C67" s="3" t="s">
        <v>64</v>
      </c>
      <c r="D67" s="3" t="s">
        <v>10</v>
      </c>
      <c r="E67" s="7">
        <v>500000</v>
      </c>
      <c r="F67" s="10"/>
      <c r="G67" s="7">
        <f t="shared" si="0"/>
        <v>3105950</v>
      </c>
    </row>
    <row r="68" spans="1:7" x14ac:dyDescent="0.25">
      <c r="A68" s="6">
        <v>67</v>
      </c>
      <c r="B68" s="23">
        <v>45737</v>
      </c>
      <c r="C68" s="15" t="s">
        <v>65</v>
      </c>
      <c r="D68" s="3" t="s">
        <v>3</v>
      </c>
      <c r="E68" s="9"/>
      <c r="F68" s="17">
        <v>524000</v>
      </c>
      <c r="G68" s="7">
        <f t="shared" ref="G68:G131" si="1">G67+E68-F68</f>
        <v>2581950</v>
      </c>
    </row>
    <row r="69" spans="1:7" ht="15.75" thickBot="1" x14ac:dyDescent="0.3">
      <c r="A69" s="8">
        <v>68</v>
      </c>
      <c r="B69" s="23">
        <v>45737</v>
      </c>
      <c r="C69" s="15" t="s">
        <v>66</v>
      </c>
      <c r="D69" s="3" t="s">
        <v>3</v>
      </c>
      <c r="E69" s="9"/>
      <c r="F69" s="17">
        <v>546000</v>
      </c>
      <c r="G69" s="7">
        <f t="shared" si="1"/>
        <v>2035950</v>
      </c>
    </row>
    <row r="70" spans="1:7" x14ac:dyDescent="0.25">
      <c r="A70" s="1">
        <v>69</v>
      </c>
      <c r="B70" s="23">
        <v>45737</v>
      </c>
      <c r="C70" s="15" t="s">
        <v>67</v>
      </c>
      <c r="D70" s="3" t="s">
        <v>3</v>
      </c>
      <c r="E70" s="9"/>
      <c r="F70" s="17">
        <v>1000000</v>
      </c>
      <c r="G70" s="7">
        <f t="shared" si="1"/>
        <v>1035950</v>
      </c>
    </row>
    <row r="71" spans="1:7" x14ac:dyDescent="0.25">
      <c r="A71" s="6">
        <v>70</v>
      </c>
      <c r="B71" s="23">
        <v>45737</v>
      </c>
      <c r="C71" s="15" t="s">
        <v>68</v>
      </c>
      <c r="D71" s="3" t="s">
        <v>3</v>
      </c>
      <c r="E71" s="7"/>
      <c r="F71" s="10">
        <v>107000</v>
      </c>
      <c r="G71" s="7">
        <f t="shared" si="1"/>
        <v>928950</v>
      </c>
    </row>
    <row r="72" spans="1:7" x14ac:dyDescent="0.25">
      <c r="A72" s="6">
        <v>71</v>
      </c>
      <c r="B72" s="24">
        <v>45741</v>
      </c>
      <c r="C72" s="15" t="s">
        <v>69</v>
      </c>
      <c r="D72" s="3" t="s">
        <v>10</v>
      </c>
      <c r="E72" s="18">
        <v>500000</v>
      </c>
      <c r="F72" s="7"/>
      <c r="G72" s="7">
        <f t="shared" si="1"/>
        <v>1428950</v>
      </c>
    </row>
    <row r="73" spans="1:7" ht="15.75" thickBot="1" x14ac:dyDescent="0.3">
      <c r="A73" s="8">
        <v>72</v>
      </c>
      <c r="B73" s="24">
        <v>45741</v>
      </c>
      <c r="C73" s="3" t="s">
        <v>70</v>
      </c>
      <c r="D73" s="3" t="s">
        <v>8</v>
      </c>
      <c r="E73" s="7"/>
      <c r="F73" s="10">
        <v>900000</v>
      </c>
      <c r="G73" s="7">
        <f t="shared" si="1"/>
        <v>528950</v>
      </c>
    </row>
    <row r="74" spans="1:7" x14ac:dyDescent="0.25">
      <c r="A74" s="1">
        <v>73</v>
      </c>
      <c r="B74" s="23">
        <v>45742</v>
      </c>
      <c r="C74" s="3" t="s">
        <v>71</v>
      </c>
      <c r="D74" s="3" t="s">
        <v>10</v>
      </c>
      <c r="E74" s="18">
        <v>1000000</v>
      </c>
      <c r="F74" s="7"/>
      <c r="G74" s="7">
        <f t="shared" si="1"/>
        <v>1528950</v>
      </c>
    </row>
    <row r="75" spans="1:7" x14ac:dyDescent="0.25">
      <c r="A75" s="6">
        <v>74</v>
      </c>
      <c r="B75" s="23">
        <v>45743</v>
      </c>
      <c r="C75" s="3" t="s">
        <v>72</v>
      </c>
      <c r="D75" s="3" t="s">
        <v>10</v>
      </c>
      <c r="E75" s="7">
        <v>500000</v>
      </c>
      <c r="F75" s="7"/>
      <c r="G75" s="7">
        <f t="shared" si="1"/>
        <v>2028950</v>
      </c>
    </row>
    <row r="76" spans="1:7" x14ac:dyDescent="0.25">
      <c r="A76" s="6">
        <v>75</v>
      </c>
      <c r="B76" s="23">
        <v>45743</v>
      </c>
      <c r="C76" s="3" t="s">
        <v>73</v>
      </c>
      <c r="D76" s="3" t="s">
        <v>8</v>
      </c>
      <c r="E76" s="7"/>
      <c r="F76" s="7">
        <v>50000</v>
      </c>
      <c r="G76" s="7">
        <f t="shared" si="1"/>
        <v>1978950</v>
      </c>
    </row>
    <row r="77" spans="1:7" ht="15.75" thickBot="1" x14ac:dyDescent="0.3">
      <c r="A77" s="8">
        <v>76</v>
      </c>
      <c r="B77" s="23">
        <v>45744</v>
      </c>
      <c r="C77" s="3" t="s">
        <v>74</v>
      </c>
      <c r="D77" s="3" t="s">
        <v>10</v>
      </c>
      <c r="E77" s="7">
        <v>500000</v>
      </c>
      <c r="F77" s="7"/>
      <c r="G77" s="7">
        <f t="shared" si="1"/>
        <v>2478950</v>
      </c>
    </row>
    <row r="78" spans="1:7" x14ac:dyDescent="0.25">
      <c r="A78" s="1">
        <v>77</v>
      </c>
      <c r="B78" s="23">
        <v>45760</v>
      </c>
      <c r="C78" s="3" t="s">
        <v>62</v>
      </c>
      <c r="D78" s="3" t="s">
        <v>10</v>
      </c>
      <c r="E78" s="7">
        <v>300000</v>
      </c>
      <c r="F78" s="7"/>
      <c r="G78" s="7">
        <f t="shared" si="1"/>
        <v>2778950</v>
      </c>
    </row>
    <row r="79" spans="1:7" x14ac:dyDescent="0.25">
      <c r="A79" s="6">
        <v>78</v>
      </c>
      <c r="B79" s="23">
        <v>45760</v>
      </c>
      <c r="C79" s="3" t="s">
        <v>75</v>
      </c>
      <c r="D79" s="3" t="s">
        <v>10</v>
      </c>
      <c r="E79" s="10">
        <v>500000</v>
      </c>
      <c r="F79" s="10"/>
      <c r="G79" s="10">
        <f t="shared" si="1"/>
        <v>3278950</v>
      </c>
    </row>
    <row r="80" spans="1:7" x14ac:dyDescent="0.25">
      <c r="A80" s="6">
        <v>79</v>
      </c>
      <c r="B80" s="23">
        <v>45760</v>
      </c>
      <c r="C80" s="3" t="s">
        <v>76</v>
      </c>
      <c r="D80" s="3" t="s">
        <v>10</v>
      </c>
      <c r="E80" s="10">
        <v>500000</v>
      </c>
      <c r="F80" s="10"/>
      <c r="G80" s="10">
        <f t="shared" si="1"/>
        <v>3778950</v>
      </c>
    </row>
    <row r="81" spans="1:7" ht="15.75" thickBot="1" x14ac:dyDescent="0.3">
      <c r="A81" s="8">
        <v>80</v>
      </c>
      <c r="B81" s="23">
        <v>45779</v>
      </c>
      <c r="C81" s="3" t="s">
        <v>77</v>
      </c>
      <c r="D81" s="3" t="s">
        <v>10</v>
      </c>
      <c r="E81" s="10">
        <v>500000</v>
      </c>
      <c r="F81" s="10"/>
      <c r="G81" s="10">
        <f t="shared" si="1"/>
        <v>4278950</v>
      </c>
    </row>
    <row r="82" spans="1:7" x14ac:dyDescent="0.25">
      <c r="A82" s="1">
        <v>81</v>
      </c>
      <c r="B82" s="23">
        <v>45779</v>
      </c>
      <c r="C82" s="3" t="s">
        <v>77</v>
      </c>
      <c r="D82" s="3" t="s">
        <v>10</v>
      </c>
      <c r="E82" s="10">
        <v>300000</v>
      </c>
      <c r="F82" s="10"/>
      <c r="G82" s="10">
        <f t="shared" si="1"/>
        <v>4578950</v>
      </c>
    </row>
    <row r="83" spans="1:7" x14ac:dyDescent="0.25">
      <c r="A83" s="6">
        <v>82</v>
      </c>
      <c r="B83" s="23">
        <v>45779</v>
      </c>
      <c r="C83" s="3" t="s">
        <v>78</v>
      </c>
      <c r="D83" s="3" t="s">
        <v>10</v>
      </c>
      <c r="E83" s="10">
        <v>100000</v>
      </c>
      <c r="F83" s="10"/>
      <c r="G83" s="10">
        <f t="shared" si="1"/>
        <v>4678950</v>
      </c>
    </row>
    <row r="84" spans="1:7" x14ac:dyDescent="0.25">
      <c r="A84" s="6">
        <v>83</v>
      </c>
      <c r="B84" s="23">
        <v>45779</v>
      </c>
      <c r="C84" s="3" t="s">
        <v>78</v>
      </c>
      <c r="D84" s="3" t="s">
        <v>10</v>
      </c>
      <c r="E84" s="10">
        <v>100000</v>
      </c>
      <c r="F84" s="10"/>
      <c r="G84" s="10">
        <f t="shared" si="1"/>
        <v>4778950</v>
      </c>
    </row>
    <row r="85" spans="1:7" ht="15.75" thickBot="1" x14ac:dyDescent="0.3">
      <c r="A85" s="8">
        <v>84</v>
      </c>
      <c r="B85" s="23">
        <v>45779</v>
      </c>
      <c r="C85" s="3" t="s">
        <v>62</v>
      </c>
      <c r="D85" s="3" t="s">
        <v>10</v>
      </c>
      <c r="E85" s="10">
        <v>300000</v>
      </c>
      <c r="F85" s="10"/>
      <c r="G85" s="10">
        <f t="shared" si="1"/>
        <v>5078950</v>
      </c>
    </row>
    <row r="86" spans="1:7" x14ac:dyDescent="0.25">
      <c r="A86" s="1">
        <v>85</v>
      </c>
      <c r="B86" s="23">
        <v>45795</v>
      </c>
      <c r="C86" s="3" t="s">
        <v>79</v>
      </c>
      <c r="D86" s="3" t="s">
        <v>17</v>
      </c>
      <c r="E86" s="10">
        <v>2120000</v>
      </c>
      <c r="F86" s="10"/>
      <c r="G86" s="10">
        <f t="shared" si="1"/>
        <v>7198950</v>
      </c>
    </row>
    <row r="87" spans="1:7" x14ac:dyDescent="0.25">
      <c r="A87" s="6">
        <v>86</v>
      </c>
      <c r="B87" s="23">
        <v>45795</v>
      </c>
      <c r="C87" s="3" t="s">
        <v>78</v>
      </c>
      <c r="D87" s="3" t="s">
        <v>10</v>
      </c>
      <c r="E87" s="10">
        <v>100000</v>
      </c>
      <c r="F87" s="10"/>
      <c r="G87" s="10">
        <f t="shared" si="1"/>
        <v>7298950</v>
      </c>
    </row>
    <row r="88" spans="1:7" x14ac:dyDescent="0.25">
      <c r="A88" s="6">
        <v>87</v>
      </c>
      <c r="B88" s="23">
        <v>45795</v>
      </c>
      <c r="C88" s="3" t="s">
        <v>78</v>
      </c>
      <c r="D88" s="3" t="s">
        <v>10</v>
      </c>
      <c r="E88" s="10">
        <v>100000</v>
      </c>
      <c r="F88" s="10"/>
      <c r="G88" s="10">
        <f t="shared" si="1"/>
        <v>7398950</v>
      </c>
    </row>
    <row r="89" spans="1:7" ht="15.75" thickBot="1" x14ac:dyDescent="0.3">
      <c r="A89" s="8">
        <v>88</v>
      </c>
      <c r="B89" s="23">
        <v>45795</v>
      </c>
      <c r="C89" s="3" t="s">
        <v>78</v>
      </c>
      <c r="D89" s="3" t="s">
        <v>10</v>
      </c>
      <c r="E89" s="10">
        <v>100000</v>
      </c>
      <c r="F89" s="10"/>
      <c r="G89" s="10">
        <f t="shared" si="1"/>
        <v>7498950</v>
      </c>
    </row>
    <row r="90" spans="1:7" x14ac:dyDescent="0.25">
      <c r="A90" s="1">
        <v>89</v>
      </c>
      <c r="B90" s="23">
        <v>45795</v>
      </c>
      <c r="C90" s="3" t="s">
        <v>80</v>
      </c>
      <c r="D90" s="3" t="s">
        <v>10</v>
      </c>
      <c r="E90" s="10">
        <v>50000</v>
      </c>
      <c r="F90" s="10"/>
      <c r="G90" s="10">
        <f t="shared" si="1"/>
        <v>7548950</v>
      </c>
    </row>
    <row r="91" spans="1:7" x14ac:dyDescent="0.25">
      <c r="A91" s="6">
        <v>90</v>
      </c>
      <c r="B91" s="23">
        <v>45795</v>
      </c>
      <c r="C91" s="3" t="s">
        <v>77</v>
      </c>
      <c r="D91" s="3" t="s">
        <v>10</v>
      </c>
      <c r="E91" s="10">
        <v>150000</v>
      </c>
      <c r="F91" s="10"/>
      <c r="G91" s="10">
        <f t="shared" si="1"/>
        <v>7698950</v>
      </c>
    </row>
    <row r="92" spans="1:7" x14ac:dyDescent="0.25">
      <c r="A92" s="6">
        <v>91</v>
      </c>
      <c r="B92" s="23">
        <v>45795</v>
      </c>
      <c r="C92" s="3" t="s">
        <v>81</v>
      </c>
      <c r="D92" s="3" t="s">
        <v>10</v>
      </c>
      <c r="E92" s="10">
        <v>500000</v>
      </c>
      <c r="F92" s="10"/>
      <c r="G92" s="10">
        <f t="shared" si="1"/>
        <v>8198950</v>
      </c>
    </row>
    <row r="93" spans="1:7" ht="15.75" thickBot="1" x14ac:dyDescent="0.3">
      <c r="A93" s="8">
        <v>92</v>
      </c>
      <c r="B93" s="23">
        <v>45795</v>
      </c>
      <c r="C93" s="3" t="s">
        <v>82</v>
      </c>
      <c r="D93" s="3" t="s">
        <v>10</v>
      </c>
      <c r="E93" s="10">
        <v>100000</v>
      </c>
      <c r="F93" s="10"/>
      <c r="G93" s="10">
        <f t="shared" si="1"/>
        <v>8298950</v>
      </c>
    </row>
    <row r="94" spans="1:7" x14ac:dyDescent="0.25">
      <c r="A94" s="1">
        <v>93</v>
      </c>
      <c r="B94" s="23">
        <v>45836</v>
      </c>
      <c r="C94" s="3" t="s">
        <v>83</v>
      </c>
      <c r="D94" s="3" t="s">
        <v>17</v>
      </c>
      <c r="E94" s="7">
        <v>1000000</v>
      </c>
      <c r="F94" s="10"/>
      <c r="G94" s="7">
        <f t="shared" si="1"/>
        <v>9298950</v>
      </c>
    </row>
    <row r="95" spans="1:7" x14ac:dyDescent="0.25">
      <c r="A95" s="6">
        <v>94</v>
      </c>
      <c r="B95" s="23">
        <v>45836</v>
      </c>
      <c r="C95" s="3" t="s">
        <v>78</v>
      </c>
      <c r="D95" s="3" t="s">
        <v>10</v>
      </c>
      <c r="E95" s="7">
        <v>150000</v>
      </c>
      <c r="F95" s="10"/>
      <c r="G95" s="7">
        <f t="shared" si="1"/>
        <v>9448950</v>
      </c>
    </row>
    <row r="96" spans="1:7" x14ac:dyDescent="0.25">
      <c r="A96" s="6">
        <v>95</v>
      </c>
      <c r="B96" s="23">
        <v>45836</v>
      </c>
      <c r="C96" s="3" t="s">
        <v>78</v>
      </c>
      <c r="D96" s="3" t="s">
        <v>10</v>
      </c>
      <c r="E96" s="4">
        <v>150000</v>
      </c>
      <c r="F96" s="19"/>
      <c r="G96" s="7">
        <f t="shared" si="1"/>
        <v>9598950</v>
      </c>
    </row>
    <row r="97" spans="1:7" ht="15.75" thickBot="1" x14ac:dyDescent="0.3">
      <c r="A97" s="8">
        <v>96</v>
      </c>
      <c r="B97" s="23">
        <v>45836</v>
      </c>
      <c r="C97" s="3" t="s">
        <v>78</v>
      </c>
      <c r="D97" s="3" t="s">
        <v>10</v>
      </c>
      <c r="E97" s="4">
        <v>150000</v>
      </c>
      <c r="F97" s="19"/>
      <c r="G97" s="7">
        <f t="shared" si="1"/>
        <v>9748950</v>
      </c>
    </row>
    <row r="98" spans="1:7" x14ac:dyDescent="0.25">
      <c r="A98" s="1">
        <v>97</v>
      </c>
      <c r="B98" s="23">
        <v>45836</v>
      </c>
      <c r="C98" s="3" t="s">
        <v>77</v>
      </c>
      <c r="D98" s="3" t="s">
        <v>10</v>
      </c>
      <c r="E98" s="4">
        <v>150000</v>
      </c>
      <c r="F98" s="19"/>
      <c r="G98" s="7">
        <f t="shared" si="1"/>
        <v>9898950</v>
      </c>
    </row>
    <row r="99" spans="1:7" x14ac:dyDescent="0.25">
      <c r="A99" s="6">
        <v>98</v>
      </c>
      <c r="B99" s="23">
        <v>45836</v>
      </c>
      <c r="C99" s="2" t="s">
        <v>84</v>
      </c>
      <c r="D99" s="3" t="s">
        <v>10</v>
      </c>
      <c r="E99" s="4">
        <v>300000</v>
      </c>
      <c r="F99" s="19"/>
      <c r="G99" s="7">
        <f t="shared" si="1"/>
        <v>10198950</v>
      </c>
    </row>
    <row r="100" spans="1:7" x14ac:dyDescent="0.25">
      <c r="A100" s="6">
        <v>99</v>
      </c>
      <c r="B100" s="22">
        <v>45878</v>
      </c>
      <c r="C100" s="3" t="s">
        <v>78</v>
      </c>
      <c r="D100" s="3" t="s">
        <v>10</v>
      </c>
      <c r="E100" s="4">
        <v>150000</v>
      </c>
      <c r="F100" s="19"/>
      <c r="G100" s="7">
        <f t="shared" si="1"/>
        <v>10348950</v>
      </c>
    </row>
    <row r="101" spans="1:7" ht="15.75" thickBot="1" x14ac:dyDescent="0.3">
      <c r="A101" s="8">
        <v>100</v>
      </c>
      <c r="B101" s="22">
        <v>45878</v>
      </c>
      <c r="C101" s="3" t="s">
        <v>78</v>
      </c>
      <c r="D101" s="3" t="s">
        <v>10</v>
      </c>
      <c r="E101" s="4">
        <v>200000</v>
      </c>
      <c r="F101" s="19"/>
      <c r="G101" s="7">
        <f t="shared" si="1"/>
        <v>10548950</v>
      </c>
    </row>
    <row r="102" spans="1:7" x14ac:dyDescent="0.25">
      <c r="A102" s="1">
        <v>101</v>
      </c>
      <c r="B102" s="22">
        <v>45878</v>
      </c>
      <c r="C102" s="2" t="s">
        <v>85</v>
      </c>
      <c r="D102" s="3" t="s">
        <v>10</v>
      </c>
      <c r="E102" s="4">
        <v>100000</v>
      </c>
      <c r="F102" s="19"/>
      <c r="G102" s="7">
        <f t="shared" si="1"/>
        <v>10648950</v>
      </c>
    </row>
    <row r="103" spans="1:7" x14ac:dyDescent="0.25">
      <c r="A103" s="6">
        <v>102</v>
      </c>
      <c r="B103" s="22">
        <v>45878</v>
      </c>
      <c r="C103" s="2" t="s">
        <v>62</v>
      </c>
      <c r="D103" s="3" t="s">
        <v>10</v>
      </c>
      <c r="E103" s="4">
        <v>300000</v>
      </c>
      <c r="F103" s="19"/>
      <c r="G103" s="7">
        <f t="shared" si="1"/>
        <v>10948950</v>
      </c>
    </row>
    <row r="104" spans="1:7" x14ac:dyDescent="0.25">
      <c r="A104" s="6">
        <v>103</v>
      </c>
      <c r="B104" s="22">
        <v>45878</v>
      </c>
      <c r="C104" s="3" t="s">
        <v>86</v>
      </c>
      <c r="D104" s="3" t="s">
        <v>10</v>
      </c>
      <c r="E104" s="4">
        <v>1000000</v>
      </c>
      <c r="F104" s="19"/>
      <c r="G104" s="7">
        <f t="shared" si="1"/>
        <v>11948950</v>
      </c>
    </row>
    <row r="105" spans="1:7" ht="15.75" thickBot="1" x14ac:dyDescent="0.3">
      <c r="A105" s="8">
        <v>104</v>
      </c>
      <c r="B105" s="22">
        <v>45878</v>
      </c>
      <c r="C105" s="3" t="s">
        <v>87</v>
      </c>
      <c r="D105" s="3" t="s">
        <v>17</v>
      </c>
      <c r="E105" s="4">
        <v>2370000</v>
      </c>
      <c r="F105" s="19"/>
      <c r="G105" s="7">
        <f t="shared" si="1"/>
        <v>14318950</v>
      </c>
    </row>
    <row r="106" spans="1:7" x14ac:dyDescent="0.25">
      <c r="A106" s="1">
        <v>105</v>
      </c>
      <c r="B106" s="22">
        <v>45897</v>
      </c>
      <c r="C106" s="2" t="s">
        <v>62</v>
      </c>
      <c r="D106" s="3" t="s">
        <v>10</v>
      </c>
      <c r="E106" s="4">
        <v>300000</v>
      </c>
      <c r="F106" s="19"/>
      <c r="G106" s="7">
        <f t="shared" si="1"/>
        <v>14618950</v>
      </c>
    </row>
    <row r="107" spans="1:7" x14ac:dyDescent="0.25">
      <c r="A107" s="6">
        <v>106</v>
      </c>
      <c r="B107" s="22">
        <v>45897</v>
      </c>
      <c r="C107" s="2" t="s">
        <v>88</v>
      </c>
      <c r="D107" s="3" t="s">
        <v>10</v>
      </c>
      <c r="E107" s="4">
        <v>1000000</v>
      </c>
      <c r="F107" s="19"/>
      <c r="G107" s="7">
        <f t="shared" si="1"/>
        <v>15618950</v>
      </c>
    </row>
    <row r="108" spans="1:7" x14ac:dyDescent="0.25">
      <c r="A108" s="6">
        <v>107</v>
      </c>
      <c r="B108" s="22">
        <v>45897</v>
      </c>
      <c r="C108" s="2" t="s">
        <v>89</v>
      </c>
      <c r="D108" s="3" t="s">
        <v>3</v>
      </c>
      <c r="E108" s="4"/>
      <c r="F108" s="19">
        <v>320000</v>
      </c>
      <c r="G108" s="7">
        <f t="shared" si="1"/>
        <v>15298950</v>
      </c>
    </row>
    <row r="109" spans="1:7" ht="15.75" thickBot="1" x14ac:dyDescent="0.3">
      <c r="A109" s="8">
        <v>108</v>
      </c>
      <c r="B109" s="22">
        <v>45897</v>
      </c>
      <c r="C109" s="2" t="s">
        <v>90</v>
      </c>
      <c r="D109" s="3" t="s">
        <v>3</v>
      </c>
      <c r="E109" s="4"/>
      <c r="F109" s="19">
        <v>920000</v>
      </c>
      <c r="G109" s="7">
        <f t="shared" si="1"/>
        <v>14378950</v>
      </c>
    </row>
    <row r="110" spans="1:7" x14ac:dyDescent="0.25">
      <c r="A110" s="1">
        <v>109</v>
      </c>
      <c r="B110" s="22">
        <v>45897</v>
      </c>
      <c r="C110" s="2" t="s">
        <v>91</v>
      </c>
      <c r="D110" s="3" t="s">
        <v>3</v>
      </c>
      <c r="E110" s="4"/>
      <c r="F110" s="19">
        <v>45000</v>
      </c>
      <c r="G110" s="7">
        <f t="shared" si="1"/>
        <v>14333950</v>
      </c>
    </row>
    <row r="111" spans="1:7" x14ac:dyDescent="0.25">
      <c r="A111" s="6">
        <v>110</v>
      </c>
      <c r="B111" s="22">
        <v>45897</v>
      </c>
      <c r="C111" s="2" t="s">
        <v>92</v>
      </c>
      <c r="D111" s="3" t="s">
        <v>3</v>
      </c>
      <c r="E111" s="4"/>
      <c r="F111" s="19">
        <v>1025000</v>
      </c>
      <c r="G111" s="7">
        <f t="shared" si="1"/>
        <v>13308950</v>
      </c>
    </row>
    <row r="112" spans="1:7" x14ac:dyDescent="0.25">
      <c r="A112" s="6">
        <v>111</v>
      </c>
      <c r="B112" s="22">
        <v>45899</v>
      </c>
      <c r="C112" s="2" t="s">
        <v>58</v>
      </c>
      <c r="D112" s="3" t="s">
        <v>8</v>
      </c>
      <c r="E112" s="4"/>
      <c r="F112" s="20">
        <v>2360000</v>
      </c>
      <c r="G112" s="21">
        <f t="shared" si="1"/>
        <v>10948950</v>
      </c>
    </row>
    <row r="113" spans="1:7" ht="15.75" thickBot="1" x14ac:dyDescent="0.3">
      <c r="A113" s="8">
        <v>112</v>
      </c>
      <c r="B113" s="22">
        <v>45899</v>
      </c>
      <c r="C113" s="2" t="s">
        <v>93</v>
      </c>
      <c r="D113" s="3" t="s">
        <v>3</v>
      </c>
      <c r="E113" s="4"/>
      <c r="F113" s="19">
        <v>150000</v>
      </c>
      <c r="G113" s="7">
        <f t="shared" si="1"/>
        <v>10798950</v>
      </c>
    </row>
    <row r="114" spans="1:7" x14ac:dyDescent="0.25">
      <c r="A114" s="1">
        <v>113</v>
      </c>
      <c r="B114" s="22">
        <v>45902</v>
      </c>
      <c r="C114" s="3" t="s">
        <v>94</v>
      </c>
      <c r="D114" s="3" t="s">
        <v>3</v>
      </c>
      <c r="E114" s="4"/>
      <c r="F114" s="19">
        <v>52000</v>
      </c>
      <c r="G114" s="7">
        <f t="shared" si="1"/>
        <v>10746950</v>
      </c>
    </row>
    <row r="115" spans="1:7" x14ac:dyDescent="0.25">
      <c r="A115" s="6">
        <v>114</v>
      </c>
      <c r="B115" s="22">
        <v>45902</v>
      </c>
      <c r="C115" s="3" t="s">
        <v>95</v>
      </c>
      <c r="D115" s="3" t="s">
        <v>3</v>
      </c>
      <c r="E115" s="4"/>
      <c r="F115" s="19">
        <v>1947500</v>
      </c>
      <c r="G115" s="7">
        <f t="shared" si="1"/>
        <v>8799450</v>
      </c>
    </row>
    <row r="116" spans="1:7" x14ac:dyDescent="0.25">
      <c r="A116" s="6">
        <v>115</v>
      </c>
      <c r="B116" s="22">
        <v>45904</v>
      </c>
      <c r="C116" s="3" t="s">
        <v>58</v>
      </c>
      <c r="D116" s="3" t="s">
        <v>8</v>
      </c>
      <c r="E116" s="4"/>
      <c r="F116" s="19">
        <v>1530000</v>
      </c>
      <c r="G116" s="7">
        <f t="shared" si="1"/>
        <v>7269450</v>
      </c>
    </row>
    <row r="117" spans="1:7" ht="15.75" thickBot="1" x14ac:dyDescent="0.3">
      <c r="A117" s="8">
        <v>116</v>
      </c>
      <c r="B117" s="22">
        <v>45910</v>
      </c>
      <c r="C117" s="2" t="s">
        <v>96</v>
      </c>
      <c r="D117" s="3" t="s">
        <v>3</v>
      </c>
      <c r="E117" s="4"/>
      <c r="F117" s="19">
        <v>15000</v>
      </c>
      <c r="G117" s="7">
        <f t="shared" si="1"/>
        <v>7254450</v>
      </c>
    </row>
    <row r="118" spans="1:7" x14ac:dyDescent="0.25">
      <c r="A118" s="1">
        <v>117</v>
      </c>
      <c r="B118" s="22">
        <v>45910</v>
      </c>
      <c r="C118" s="2" t="s">
        <v>97</v>
      </c>
      <c r="D118" s="3" t="s">
        <v>3</v>
      </c>
      <c r="E118" s="4"/>
      <c r="F118" s="19">
        <v>4281600</v>
      </c>
      <c r="G118" s="7">
        <f t="shared" si="1"/>
        <v>2972850</v>
      </c>
    </row>
    <row r="119" spans="1:7" x14ac:dyDescent="0.25">
      <c r="A119" s="6">
        <v>118</v>
      </c>
      <c r="B119" s="22">
        <v>45912</v>
      </c>
      <c r="C119" s="3" t="s">
        <v>93</v>
      </c>
      <c r="D119" s="3" t="s">
        <v>3</v>
      </c>
      <c r="E119" s="4"/>
      <c r="F119" s="19">
        <v>125000</v>
      </c>
      <c r="G119" s="7">
        <f t="shared" si="1"/>
        <v>2847850</v>
      </c>
    </row>
    <row r="120" spans="1:7" x14ac:dyDescent="0.25">
      <c r="A120" s="6">
        <v>119</v>
      </c>
      <c r="B120" s="22">
        <v>45912</v>
      </c>
      <c r="C120" s="3" t="s">
        <v>98</v>
      </c>
      <c r="D120" s="3" t="s">
        <v>17</v>
      </c>
      <c r="E120" s="4">
        <v>2270000</v>
      </c>
      <c r="F120" s="19"/>
      <c r="G120" s="7">
        <f t="shared" si="1"/>
        <v>5117850</v>
      </c>
    </row>
    <row r="121" spans="1:7" ht="15.75" thickBot="1" x14ac:dyDescent="0.3">
      <c r="A121" s="8">
        <v>120</v>
      </c>
      <c r="B121" s="22">
        <v>45913</v>
      </c>
      <c r="C121" s="2" t="s">
        <v>58</v>
      </c>
      <c r="D121" s="3" t="s">
        <v>8</v>
      </c>
      <c r="E121" s="4"/>
      <c r="F121" s="19">
        <v>1710000</v>
      </c>
      <c r="G121" s="7">
        <f t="shared" si="1"/>
        <v>3407850</v>
      </c>
    </row>
    <row r="122" spans="1:7" x14ac:dyDescent="0.25">
      <c r="A122" s="1">
        <v>121</v>
      </c>
      <c r="B122" s="22">
        <v>45915</v>
      </c>
      <c r="C122" s="2" t="s">
        <v>99</v>
      </c>
      <c r="D122" s="3" t="s">
        <v>3</v>
      </c>
      <c r="E122" s="4"/>
      <c r="F122" s="19">
        <v>1261000</v>
      </c>
      <c r="G122" s="7">
        <f t="shared" si="1"/>
        <v>2146850</v>
      </c>
    </row>
    <row r="123" spans="1:7" x14ac:dyDescent="0.25">
      <c r="A123" s="6">
        <v>122</v>
      </c>
      <c r="B123" s="22">
        <v>45915</v>
      </c>
      <c r="C123" s="2" t="s">
        <v>100</v>
      </c>
      <c r="D123" s="3" t="s">
        <v>3</v>
      </c>
      <c r="E123" s="4"/>
      <c r="F123" s="19">
        <v>120000</v>
      </c>
      <c r="G123" s="7">
        <f t="shared" si="1"/>
        <v>2026850</v>
      </c>
    </row>
    <row r="124" spans="1:7" x14ac:dyDescent="0.25">
      <c r="A124" s="6">
        <v>123</v>
      </c>
      <c r="B124" s="22">
        <v>45918</v>
      </c>
      <c r="C124" s="2" t="s">
        <v>101</v>
      </c>
      <c r="D124" s="3" t="s">
        <v>3</v>
      </c>
      <c r="E124" s="4"/>
      <c r="F124" s="19">
        <v>985900</v>
      </c>
      <c r="G124" s="7">
        <f t="shared" si="1"/>
        <v>1040950</v>
      </c>
    </row>
    <row r="125" spans="1:7" ht="15.75" thickBot="1" x14ac:dyDescent="0.3">
      <c r="A125" s="8">
        <v>124</v>
      </c>
      <c r="B125" s="22">
        <v>45918</v>
      </c>
      <c r="C125" s="2" t="s">
        <v>102</v>
      </c>
      <c r="D125" s="3" t="s">
        <v>3</v>
      </c>
      <c r="E125" s="4"/>
      <c r="F125" s="19">
        <v>3924800</v>
      </c>
      <c r="G125" s="7">
        <f t="shared" si="1"/>
        <v>-2883850</v>
      </c>
    </row>
    <row r="126" spans="1:7" x14ac:dyDescent="0.25">
      <c r="A126" s="1">
        <v>125</v>
      </c>
      <c r="B126" s="22">
        <v>45919</v>
      </c>
      <c r="C126" s="2" t="s">
        <v>86</v>
      </c>
      <c r="D126" s="3" t="s">
        <v>10</v>
      </c>
      <c r="E126" s="4">
        <v>100000</v>
      </c>
      <c r="F126" s="19"/>
      <c r="G126" s="7">
        <f t="shared" si="1"/>
        <v>-2783850</v>
      </c>
    </row>
    <row r="127" spans="1:7" x14ac:dyDescent="0.25">
      <c r="A127" s="6">
        <v>126</v>
      </c>
      <c r="B127" s="22">
        <v>45920</v>
      </c>
      <c r="C127" s="3" t="s">
        <v>103</v>
      </c>
      <c r="D127" s="3" t="s">
        <v>3</v>
      </c>
      <c r="E127" s="4"/>
      <c r="F127" s="19">
        <v>184000</v>
      </c>
      <c r="G127" s="7">
        <f t="shared" si="1"/>
        <v>-2967850</v>
      </c>
    </row>
    <row r="128" spans="1:7" x14ac:dyDescent="0.25">
      <c r="A128" s="6">
        <v>127</v>
      </c>
      <c r="B128" s="22">
        <v>45920</v>
      </c>
      <c r="C128" s="3" t="s">
        <v>58</v>
      </c>
      <c r="D128" s="3" t="s">
        <v>8</v>
      </c>
      <c r="E128" s="4"/>
      <c r="F128" s="19">
        <v>1425000</v>
      </c>
      <c r="G128" s="7">
        <f t="shared" si="1"/>
        <v>-4392850</v>
      </c>
    </row>
    <row r="129" spans="1:7" ht="15.75" thickBot="1" x14ac:dyDescent="0.3">
      <c r="A129" s="8">
        <v>128</v>
      </c>
      <c r="B129" s="22">
        <v>45924</v>
      </c>
      <c r="C129" s="2" t="s">
        <v>104</v>
      </c>
      <c r="D129" s="3" t="s">
        <v>3</v>
      </c>
      <c r="E129" s="4"/>
      <c r="F129" s="19">
        <v>210000</v>
      </c>
      <c r="G129" s="7">
        <f t="shared" si="1"/>
        <v>-4602850</v>
      </c>
    </row>
    <row r="130" spans="1:7" x14ac:dyDescent="0.25">
      <c r="A130" s="1">
        <v>129</v>
      </c>
      <c r="B130" s="22">
        <v>45924</v>
      </c>
      <c r="C130" s="2" t="s">
        <v>92</v>
      </c>
      <c r="D130" s="3" t="s">
        <v>3</v>
      </c>
      <c r="E130" s="4"/>
      <c r="F130" s="19">
        <v>1261000</v>
      </c>
      <c r="G130" s="7">
        <f t="shared" si="1"/>
        <v>-5863850</v>
      </c>
    </row>
    <row r="131" spans="1:7" x14ac:dyDescent="0.25">
      <c r="A131" s="6">
        <v>130</v>
      </c>
      <c r="B131" s="22">
        <v>45927</v>
      </c>
      <c r="C131" s="2" t="s">
        <v>105</v>
      </c>
      <c r="D131" s="3" t="s">
        <v>3</v>
      </c>
      <c r="E131" s="4"/>
      <c r="F131" s="19">
        <v>15500</v>
      </c>
      <c r="G131" s="7">
        <f t="shared" si="1"/>
        <v>-5879350</v>
      </c>
    </row>
    <row r="132" spans="1:7" x14ac:dyDescent="0.25">
      <c r="A132" s="6">
        <v>131</v>
      </c>
      <c r="B132" s="22">
        <v>45927</v>
      </c>
      <c r="C132" s="2" t="s">
        <v>58</v>
      </c>
      <c r="D132" s="3" t="s">
        <v>6</v>
      </c>
      <c r="E132" s="4"/>
      <c r="F132" s="19">
        <v>1425000</v>
      </c>
      <c r="G132" s="7">
        <f t="shared" ref="G132:G137" si="2">G131+E132-F132</f>
        <v>-7304350</v>
      </c>
    </row>
    <row r="133" spans="1:7" ht="15.75" thickBot="1" x14ac:dyDescent="0.3">
      <c r="A133" s="8">
        <v>132</v>
      </c>
      <c r="B133" s="22">
        <v>45927</v>
      </c>
      <c r="C133" s="2" t="s">
        <v>106</v>
      </c>
      <c r="D133" s="3" t="s">
        <v>10</v>
      </c>
      <c r="E133" s="4">
        <v>10000000</v>
      </c>
      <c r="F133" s="19"/>
      <c r="G133" s="7">
        <f t="shared" si="2"/>
        <v>2695650</v>
      </c>
    </row>
    <row r="134" spans="1:7" x14ac:dyDescent="0.25">
      <c r="A134" s="1">
        <v>133</v>
      </c>
      <c r="B134" s="22">
        <v>45954</v>
      </c>
      <c r="C134" s="2" t="s">
        <v>107</v>
      </c>
      <c r="D134" s="3" t="s">
        <v>10</v>
      </c>
      <c r="E134" s="4">
        <v>500000</v>
      </c>
      <c r="F134" s="19"/>
      <c r="G134" s="7">
        <f t="shared" si="2"/>
        <v>3195650</v>
      </c>
    </row>
    <row r="135" spans="1:7" x14ac:dyDescent="0.25">
      <c r="A135" s="6">
        <v>134</v>
      </c>
      <c r="B135" s="22">
        <v>45955</v>
      </c>
      <c r="C135" s="3" t="s">
        <v>108</v>
      </c>
      <c r="D135" s="3" t="s">
        <v>17</v>
      </c>
      <c r="E135" s="4">
        <v>1610000</v>
      </c>
      <c r="F135" s="19"/>
      <c r="G135" s="7">
        <f t="shared" si="2"/>
        <v>4805650</v>
      </c>
    </row>
    <row r="136" spans="1:7" x14ac:dyDescent="0.25">
      <c r="A136" s="6">
        <v>135</v>
      </c>
      <c r="B136" s="22">
        <v>45955</v>
      </c>
      <c r="C136" s="3" t="s">
        <v>62</v>
      </c>
      <c r="D136" s="3" t="s">
        <v>10</v>
      </c>
      <c r="E136" s="4">
        <v>350000</v>
      </c>
      <c r="F136" s="19"/>
      <c r="G136" s="7">
        <f t="shared" si="2"/>
        <v>5155650</v>
      </c>
    </row>
    <row r="137" spans="1:7" x14ac:dyDescent="0.25">
      <c r="A137" s="8">
        <v>136</v>
      </c>
      <c r="B137" s="22">
        <v>45980</v>
      </c>
      <c r="C137" s="3" t="s">
        <v>109</v>
      </c>
      <c r="D137" s="3" t="s">
        <v>3</v>
      </c>
      <c r="E137" s="4"/>
      <c r="F137" s="19">
        <v>582000</v>
      </c>
      <c r="G137" s="7">
        <f t="shared" si="2"/>
        <v>4573650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Andiek Suncahyo</dc:creator>
  <cp:lastModifiedBy>Andiek Suncahyo</cp:lastModifiedBy>
  <dcterms:created xsi:type="dcterms:W3CDTF">2025-11-23T10:52:09Z</dcterms:created>
  <dcterms:modified xsi:type="dcterms:W3CDTF">2025-11-24T13:01:28Z</dcterms:modified>
</cp:coreProperties>
</file>